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filipa/Documents/mestrado/desofs/desofs2026_thu_ffs_2/Derivables/Phase2/"/>
    </mc:Choice>
  </mc:AlternateContent>
  <xr:revisionPtr revIDLastSave="0" documentId="13_ncr:1_{8B669C1C-8BBD-D24A-AD74-4BB36EF31707}" xr6:coauthVersionLast="47" xr6:coauthVersionMax="47" xr10:uidLastSave="{00000000-0000-0000-0000-000000000000}"/>
  <bookViews>
    <workbookView xWindow="0" yWindow="760" windowWidth="29400" windowHeight="17320" tabRatio="500"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definedNames>
    <definedName name="_xlnm._FilterDatabase" localSheetId="10" hidden="1">'V10 - OAuth and OIDC'!$F$1:$F$44</definedName>
    <definedName name="_xlnm._FilterDatabase" localSheetId="11" hidden="1">'V11 - Cryptography'!$F$1:$F$32</definedName>
    <definedName name="_xlnm._FilterDatabase" localSheetId="12" hidden="1">'V12 - Secure Communication'!$F$1:$F$16</definedName>
    <definedName name="_xlnm._FilterDatabase" localSheetId="13" hidden="1">'V13 - Configuration'!$F$1:$F$26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1" l="1"/>
  <c r="K22" i="1" s="1"/>
  <c r="J21" i="1"/>
  <c r="G22" i="1"/>
  <c r="H22" i="1" s="1"/>
  <c r="G21" i="1"/>
  <c r="H21" i="1" s="1"/>
  <c r="L22" i="1"/>
  <c r="M22" i="1" s="1"/>
  <c r="L21" i="1"/>
  <c r="M21" i="1" s="1"/>
  <c r="L20" i="1"/>
  <c r="M20" i="1" s="1"/>
  <c r="L19" i="1"/>
  <c r="M19" i="1" s="1"/>
  <c r="L18" i="1"/>
  <c r="M18" i="1" s="1"/>
  <c r="L17" i="1"/>
  <c r="M17" i="1" s="1"/>
  <c r="L16" i="1"/>
  <c r="M16" i="1" s="1"/>
  <c r="L15" i="1"/>
  <c r="M15" i="1" s="1"/>
  <c r="L14" i="1"/>
  <c r="M14" i="1" s="1"/>
  <c r="L13" i="1"/>
  <c r="M13" i="1" s="1"/>
  <c r="L12" i="1"/>
  <c r="M12" i="1" s="1"/>
  <c r="L11" i="1"/>
  <c r="M11" i="1" s="1"/>
  <c r="L10" i="1"/>
  <c r="M10" i="1" s="1"/>
  <c r="L9" i="1"/>
  <c r="M9" i="1" s="1"/>
  <c r="L8" i="1"/>
  <c r="M8" i="1" s="1"/>
  <c r="L7" i="1"/>
  <c r="M6" i="1"/>
  <c r="L6" i="1"/>
  <c r="K7" i="1"/>
  <c r="K8" i="1"/>
  <c r="K9" i="1"/>
  <c r="K10" i="1"/>
  <c r="K11" i="1"/>
  <c r="K12" i="1"/>
  <c r="K13" i="1"/>
  <c r="K14" i="1"/>
  <c r="K15" i="1"/>
  <c r="K16" i="1"/>
  <c r="K17" i="1"/>
  <c r="K18" i="1"/>
  <c r="K19" i="1"/>
  <c r="K20" i="1"/>
  <c r="K6" i="1"/>
  <c r="H7" i="1"/>
  <c r="H8" i="1"/>
  <c r="H9" i="1"/>
  <c r="H10" i="1"/>
  <c r="H11" i="1"/>
  <c r="H12" i="1"/>
  <c r="H13" i="1"/>
  <c r="H14" i="1"/>
  <c r="H15" i="1"/>
  <c r="H16" i="1"/>
  <c r="H17" i="1"/>
  <c r="H18" i="1"/>
  <c r="H19" i="1"/>
  <c r="H20" i="1"/>
  <c r="H6" i="1"/>
  <c r="D23" i="1"/>
  <c r="F23" i="1"/>
  <c r="I23" i="1"/>
  <c r="J20" i="1"/>
  <c r="J19" i="1"/>
  <c r="J18" i="1"/>
  <c r="J17" i="1"/>
  <c r="J16" i="1"/>
  <c r="J15" i="1"/>
  <c r="J14" i="1"/>
  <c r="J13" i="1"/>
  <c r="J12" i="1"/>
  <c r="J11" i="1"/>
  <c r="J10" i="1"/>
  <c r="J9" i="1"/>
  <c r="J8" i="1"/>
  <c r="J7" i="1"/>
  <c r="J6" i="1"/>
  <c r="E21" i="1"/>
  <c r="E22" i="1"/>
  <c r="E23" i="1"/>
  <c r="G20" i="1"/>
  <c r="G19" i="1"/>
  <c r="G18" i="1"/>
  <c r="G17" i="1"/>
  <c r="G16" i="1"/>
  <c r="G15" i="1"/>
  <c r="G14" i="1"/>
  <c r="G13" i="1"/>
  <c r="G12" i="1"/>
  <c r="G11" i="1"/>
  <c r="G10" i="1"/>
  <c r="G9" i="1"/>
  <c r="G8" i="1"/>
  <c r="G7" i="1"/>
  <c r="G6" i="1"/>
  <c r="D22" i="1"/>
  <c r="D21" i="1"/>
  <c r="D20" i="1"/>
  <c r="E20" i="1" s="1"/>
  <c r="D19" i="1"/>
  <c r="E19" i="1" s="1"/>
  <c r="D18" i="1"/>
  <c r="E18" i="1" s="1"/>
  <c r="D17" i="1"/>
  <c r="E17" i="1" s="1"/>
  <c r="D16" i="1"/>
  <c r="E16" i="1" s="1"/>
  <c r="D15" i="1"/>
  <c r="E15" i="1" s="1"/>
  <c r="D14" i="1"/>
  <c r="E14" i="1" s="1"/>
  <c r="D13" i="1"/>
  <c r="E13" i="1" s="1"/>
  <c r="D12" i="1"/>
  <c r="E12" i="1" s="1"/>
  <c r="D11" i="1"/>
  <c r="E11" i="1" s="1"/>
  <c r="D10" i="1"/>
  <c r="E10" i="1" s="1"/>
  <c r="D9" i="1"/>
  <c r="E9" i="1" s="1"/>
  <c r="D8" i="1"/>
  <c r="E8" i="1" s="1"/>
  <c r="D7" i="1"/>
  <c r="E7" i="1" s="1"/>
  <c r="D6" i="1"/>
  <c r="E6" i="1" s="1"/>
  <c r="J23" i="1" l="1"/>
  <c r="K21" i="1"/>
  <c r="K23" i="1"/>
  <c r="H23" i="1"/>
  <c r="G23" i="1"/>
  <c r="L23" i="1"/>
  <c r="M7" i="1"/>
  <c r="M23" i="1" s="1"/>
</calcChain>
</file>

<file path=xl/sharedStrings.xml><?xml version="1.0" encoding="utf-8"?>
<sst xmlns="http://schemas.openxmlformats.org/spreadsheetml/2006/main" count="2373" uniqueCount="1207">
  <si>
    <t>Section ID</t>
  </si>
  <si>
    <t>Section Name</t>
  </si>
  <si>
    <t>Req ID</t>
  </si>
  <si>
    <t>Description</t>
  </si>
  <si>
    <t>Level</t>
  </si>
  <si>
    <t>Status</t>
  </si>
  <si>
    <t>Observations</t>
  </si>
  <si>
    <t>Reference / Link</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</si>
  <si>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</si>
  <si>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</si>
  <si>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</si>
  <si>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</si>
  <si>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Applicable to Kryptos due to the need to document all external communication paths.</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</si>
  <si>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</si>
  <si>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</si>
  <si>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Applicable to Kryptos due to its dependencies on external components such as the database and the key vault.</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</si>
  <si>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</si>
  <si>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</si>
  <si>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Compliant</t>
  </si>
  <si>
    <t>Applicable to Kryptos due to the sensitive data flows already documented in the threat model.</t>
  </si>
  <si>
    <t>V13.1.4</t>
  </si>
  <si>
    <t>Verify that the application's documentation defines the secrets that are critical for the security of the application and a schedule for rotating them, based on the organization's threat model and business requirements.</t>
  </si>
  <si>
    <t>Applicable to Kryptos due to the presence of several critical secrets that require rotation scheduling.</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</si>
  <si>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</si>
  <si>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</si>
  <si>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</si>
  <si>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</si>
  <si>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The only backend-to-backend channel is JDBC → PostgreSQL, authenticated with DB_USERNAME + DB_PASSWORD (injected from GitHub repo secrets in CI, from .env locally). No anonymous or shared service connection exists.</t>
  </si>
  <si>
    <t>application.properties#spring.datasource.{username,password}; docker-compose.yml</t>
  </si>
  <si>
    <t>V13.2.2</t>
  </si>
  <si>
    <t>Verify that communications between backend application components, including local or operating system services, APIs, middleware, and data layers, are performed with accounts assigned the least necessary privileges.</t>
  </si>
  <si>
    <t>PostgreSQL is accessed with a single application-level account that has full ownership of the schema. Splitting into per-role accounts (writer / reader / migration) is on the Sprint 3 backlog.</t>
  </si>
  <si>
    <t>docker-compose.yml#POSTGRES_USER; application.properties#spring.datasource.username</t>
  </si>
  <si>
    <t>V13.2.3</t>
  </si>
  <si>
    <t>Verify that if a credential has to be used for service authentication, the credential being used by the consumer is not a default credential (e.g., root/root or admin/admin).</t>
  </si>
  <si>
    <t>No default credentials are baked into the code or images. DB_PASSWORD, JWT_SECRET, ENCRYPTION_SECRET are mandatory env values; JwtService/EncryptionService fail-fast on missing/weak values.</t>
  </si>
  <si>
    <t>JwtService.getSigningKey; EncryptionService constructor; backend/.env.example</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</si>
  <si>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</si>
  <si>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</si>
  <si>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The application makes no outbound HTTP/SMB/FTP requests on behalf of users. There is no outbound resource surface that an allowlist would govern; the JDBC URL is the single hard-coded outbound destination.</t>
  </si>
  <si>
    <t>No outbound HTTP client in backend/src/main/java</t>
  </si>
  <si>
    <t>V13.2.5</t>
  </si>
  <si>
    <t>Verify that the web or application server is configured with an allowlist of resources or systems to which the server can send requests or load data or files from.</t>
  </si>
  <si>
    <t>Same justification as V13.2.4 — the application does not load data or files from external systems based on user input. The only external endpoint is the JDBC URL, configured via env.</t>
  </si>
  <si>
    <t>application.properties; SecurityConfig.java</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</si>
  <si>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</si>
  <si>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</si>
  <si>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Applicable to Kryptos due to internal traffic that must not be trusted implicitly.</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</si>
  <si>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</si>
  <si>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</si>
  <si>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</si>
  <si>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</si>
  <si>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Secrets are stored in GitHub Actions repo secrets (CI) and .env files (local dev). GitHub Secrets are encrypted at rest and access-controlled per repo, but adoption of a dedicated secrets manager (e.g., HashiCorp Vault, AWS Secrets Manager) for the production deployment is still planned.</t>
  </si>
  <si>
    <t>.github/workflows/ci.yml; backend/.env.example</t>
  </si>
  <si>
    <t>V13.3.2</t>
  </si>
  <si>
    <t>Verify that access to secret assets adheres to the principle of least privilege.</t>
  </si>
  <si>
    <t>GitHub repo secrets are scoped to the repository: only the CI workflow on protected branches can read them, and they are masked from build logs. Local .env files are 0600 and listed in .gitignore.</t>
  </si>
  <si>
    <t>.github/workflows/ci.yml; backend/.gitignore</t>
  </si>
  <si>
    <t>V13.3.3</t>
  </si>
  <si>
    <t>Verify that all cryptographic operations are performed using an isolated security module (such as a vault or hardware security module) to securely manage and protect key material from exposure outside of the security module.</t>
  </si>
  <si>
    <t>Applicable to Kryptos due to cryptographic operations benefiting from running in an isolated trust boundary.</t>
  </si>
  <si>
    <t>V13.3.4</t>
  </si>
  <si>
    <t>Verify that secrets are configured to expire and be rotated based on the application's documentation.</t>
  </si>
  <si>
    <t>Applicable to Kryptos due to the need for secret rotation over the lifetime of the system.</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</si>
  <si>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</si>
  <si>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</si>
  <si>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</si>
  <si>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</si>
  <si>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The production image is produced by a multi-stage Dockerfile: the final JRE-only stage copies just the built JAR. No .git, no .svn, no source files are shipped.</t>
  </si>
  <si>
    <t>backend/Dockerfile</t>
  </si>
  <si>
    <t>V13.4.2</t>
  </si>
  <si>
    <t>Verify that debug modes are disabled for all components in production environments to prevent exposure of debugging features and information leakage.</t>
  </si>
  <si>
    <t>Debug surface is disabled in application.properties: spring.jpa.show-sql=false; logging.level.com.kryptos=INFO; logging.level.org.springframework.security=WARN. No Spring Boot Actuator dependency is declared.</t>
  </si>
  <si>
    <t>backend/src/main/resources/application.properties; backend/pom.xml</t>
  </si>
  <si>
    <t>V13.4.3</t>
  </si>
  <si>
    <t>Verify that web servers do not expose directory listings to clients unless explicitly intended.</t>
  </si>
  <si>
    <t>Spring MVC does not expose directory listings by default and no static resource handler is registered that would expose one.</t>
  </si>
  <si>
    <t>SecurityConfig.java; KryptosApplication.java</t>
  </si>
  <si>
    <t>V13.4.4</t>
  </si>
  <si>
    <t>Verify that using the HTTP TRACE method is not supported in production environments, to avoid potential information leakage.</t>
  </si>
  <si>
    <t>HTTP TRACE is not registered as a request mapping; Tomcat (Spring Boot default embedded container) disables TRACE by default.</t>
  </si>
  <si>
    <t>Spring Boot defaults</t>
  </si>
  <si>
    <t>V13.4.5</t>
  </si>
  <si>
    <t>Verify that documentation (such as for internal APIs) and monitoring endpoints are not exposed unless explicitly intended.</t>
  </si>
  <si>
    <t>No documentation or monitoring endpoints are enabled: there is no spring-boot-starter-actuator dependency, no springdoc-openapi dependency, and no Swagger UI bean. The /v3/api-docs/** and /swagger-ui/** SecurityConfig permits resolve to 404 in practice.</t>
  </si>
  <si>
    <t>backend/pom.xml; SecurityConfig.java</t>
  </si>
  <si>
    <t>V13.4.6</t>
  </si>
  <si>
    <t>Verify that the application does not expose detailed version information of backend components.</t>
  </si>
  <si>
    <t>Spring Boot may emit a Server header by default. Suppressing it via server.server-header= (and verifying via ZAP) is a small Sprint 3 hardening task.</t>
  </si>
  <si>
    <t>application.properties (no server.server-header configured yet)</t>
  </si>
  <si>
    <t>V13.4.7</t>
  </si>
  <si>
    <t>Verify that the web tier is configured to only serve files with specific file extensions to prevent unintentional information, configuration, and source code leakage.</t>
  </si>
  <si>
    <t>The web tier serves only JSON responses generated by controllers; there is no static-file handler registered, no static directory exposed, and no file-extension-based content serving.</t>
  </si>
  <si>
    <t>KryptosApplication.java; SecurityConfig.java</t>
  </si>
  <si>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</si>
  <si>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</si>
  <si>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</si>
  <si>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</si>
  <si>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</si>
  <si>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</si>
  <si>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</si>
  <si>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</si>
  <si>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</si>
  <si>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</si>
  <si>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</si>
  <si>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</si>
  <si>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</si>
  <si>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</si>
  <si>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</si>
  <si>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</si>
  <si>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</si>
  <si>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</si>
  <si>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</si>
  <si>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</si>
  <si>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</si>
  <si>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</si>
  <si>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</si>
  <si>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</si>
  <si>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</si>
  <si>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</si>
  <si>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</si>
  <si>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</si>
  <si>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</si>
  <si>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</si>
  <si>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</si>
  <si>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</si>
  <si>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</si>
  <si>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</si>
  <si>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</si>
  <si>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</si>
  <si>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Spring MVC / Jackson decode the HTTP request body into the typed DTO record exactly once. The application performs no manual URL decoding loops or double-decoding of any inbound value.</t>
  </si>
  <si>
    <t>Spring Boot 3.5 default request pipeline; *Controller.java</t>
  </si>
  <si>
    <t>V1.1.2</t>
  </si>
  <si>
    <t>Verify that the application performs output encoding and escaping either as a final step before being used by the interpreter for which it is intended or by the interpreter itself.</t>
  </si>
  <si>
    <t>Output JSON is generated by Jackson which encodes/escapes values automatically. Audit-log details are CRLF/control-char-stripped by AuditService.sanitize() before being written.</t>
  </si>
  <si>
    <t>AuditService.java#sanitize; Spring default ObjectMapper</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</si>
  <si>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</si>
  <si>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</si>
  <si>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</si>
  <si>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</si>
  <si>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Not Applicable</t>
  </si>
  <si>
    <t>x</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</si>
  <si>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</si>
  <si>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</si>
  <si>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</si>
  <si>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</si>
  <si>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All responses are JSON serialised by Jackson, which encodes special characters in string values (e.g., quotes, backslashes, control chars).</t>
  </si>
  <si>
    <t>Spring Boot default Jackson MessageConverter</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</si>
  <si>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</si>
  <si>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</si>
  <si>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Persistence goes exclusively through Spring Data JPA repositories with derived methods (findAllByOwnerId, existsByIdAndOwnerId, etc.); there is no native SQL / HQL / JPQL string concatenation anywhere in the codebase.</t>
  </si>
  <si>
    <t>backend/src/main/java/com/kryptos/**/domain/*Repository.java</t>
  </si>
  <si>
    <t>V1.2.5</t>
  </si>
  <si>
    <t>Verify that the application protects against OS command injection and that operating system calls use parameterized OS queries or use contextual command line output encoding.</t>
  </si>
  <si>
    <t>No OS command invocation exists: there is zero use of Runtime.exec, ProcessBuilder, or Process. All file operations use java.nio.file (Path/Files) and never shell out.</t>
  </si>
  <si>
    <t>FileHandlingService.java; grep over backend/src/main</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</si>
  <si>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</si>
  <si>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</si>
  <si>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</si>
  <si>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</si>
  <si>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</si>
  <si>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</si>
  <si>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</si>
  <si>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</si>
  <si>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The only regex literals in the codebase are static and non-user-controlled: [\\x00-\\x1F\\x7F] (sanitization), [A-Za-z0-9]{1,8} (extension allowlist). No regex is composed with user input.</t>
  </si>
  <si>
    <t>AuditService.sanitize; CredentialImportExportService.safe; FileHandlingService.storeUpload</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</si>
  <si>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</si>
  <si>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</si>
  <si>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</si>
  <si>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</si>
  <si>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</si>
  <si>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</si>
  <si>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</si>
  <si>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</si>
  <si>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No use of Spring Expression Language with user input. @PreAuthorize expressions are literal strings ("hasRole('USER')" etc.). No reflection-based code execution.</t>
  </si>
  <si>
    <t>All @PreAuthorize sites in backend/src/main/java/com/kryptos/**/api/</t>
  </si>
  <si>
    <t>V1.3.3</t>
  </si>
  <si>
    <t>Verify that data being passed to a potentially dangerous context is sanitized beforehand to enforce safety measures, such as only allowing characters which are safe for this context and trimming input which is too long.</t>
  </si>
  <si>
    <t>AuditService.sanitize strips control characters and CRLF before persistence; CredentialImportExportService.safe truncates and strips control chars before writing imported strings to JPA.</t>
  </si>
  <si>
    <t>AuditService.sanitize; CredentialImportExportService.safe; AuditServiceTest.log_shouldSanitizeDetails</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</si>
  <si>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</si>
  <si>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</si>
  <si>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</si>
  <si>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</si>
  <si>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</si>
  <si>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</si>
  <si>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Kryptos performs no outbound HTTP/URL fetches based on user-supplied data. The application has zero SSRF surface: no HTTP client is instantiated with a user-controlled URL, no URL fields exist in any DTO that are dereferenced server-side.</t>
  </si>
  <si>
    <t>No RestTemplate / WebClient / HttpClient usage anywhere in backend/src/main/java</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</si>
  <si>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</si>
  <si>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</si>
  <si>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Kryptos has no template engine. There is no Thymeleaf, Freemarker, Velocity, Mustache, or any other templating library declared in pom.xml. Responses are JSON, generated by Jackson.</t>
  </si>
  <si>
    <t>backend/pom.xml (no template engine dependencies)</t>
  </si>
  <si>
    <t>V1.3.8</t>
  </si>
  <si>
    <t>Verify that the application appropriately sanitizes untrusted input before use in Java Naming and Directory Interface (JNDI) queries and that JNDI is configured securely to prevent JNDI injection attacks.</t>
  </si>
  <si>
    <t>No JNDI lookup paths exist in the codebase. No InitialContext / Context.lookup() calls. Spring Boot is configured with a direct JDBC DataSource (no JNDI DataSource lookup).</t>
  </si>
  <si>
    <t>application.properties#spring.datasource.url; SecurityConfig.java</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</si>
  <si>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</si>
  <si>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</si>
  <si>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</si>
  <si>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</si>
  <si>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Java does not expose C-style format-string vulnerabilities (compiler enforces type safety on String.format placeholders). All String.format calls in the codebase use static literal format strings.</t>
  </si>
  <si>
    <t>AuditService.java; FileHandlingService.java</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</si>
  <si>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</si>
  <si>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</si>
  <si>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</si>
  <si>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</si>
  <si>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The two regex literals in use are ReDoS-safe: [\\x00-\\x1F\\x7F] (single character class) and [A-Za-z0-9]{1,8} (bounded, no nested quantifiers, no alternation). User input is matched, never used to build a pattern.</t>
  </si>
  <si>
    <t>AuditService.sanitize; FileHandlingService.storeUpload</t>
  </si>
  <si>
    <t>V1.4</t>
  </si>
  <si>
    <t>Memory, String, and Unmanaged Code</t>
  </si>
  <si>
    <t>V1.4.1</t>
  </si>
  <si>
    <t>Verify that the application uses memory-safe string, safer memory copy and pointer arithmetic to detect or prevent stack, buffer, or heap overflows.</t>
  </si>
  <si>
    <t>Java is a memory-safe language: no pointer arithmetic, no manual buffer management, no JNI / Unsafe usage. The codebase exclusively uses Java collections and java.nio buffers.</t>
  </si>
  <si>
    <t>Language-level guarantee; backend/src/main</t>
  </si>
  <si>
    <t>V1.4.2</t>
  </si>
  <si>
    <t>Verify that sign, range, and input validation techniques are used to prevent integer overflows.</t>
  </si>
  <si>
    <t>DTOs enforce input ranges via @Size on length-bounded fields (username, email, password, vault names). File-size and record-count limits use long arithmetic with explicit bounds (5 MiB cap, 50 000 lines). Java overflow semantics are well defined.</t>
  </si>
  <si>
    <t>RegisterRequest.java; CreateVaultRequest.java; FileHandlingService.java</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</si>
  <si>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</si>
  <si>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</si>
  <si>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</si>
  <si>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</si>
  <si>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</si>
  <si>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</si>
  <si>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</si>
  <si>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</si>
  <si>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Jackson deserialisation uses an explicit target type (ObjectMapper.readValue(..., CredentialExportRecord.class)); polymorphic typing is not enabled, so attacker cannot influence the class instantiated. Java built-in serialization is not used anywhere.</t>
  </si>
  <si>
    <t>CredentialImportExportService.java#importForOwner</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</si>
  <si>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</si>
  <si>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</si>
  <si>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Only one parser (Jackson) is in use for the only structured data format (JSON). There is no XML, YAML, or alternative JSON parser, so parser-divergence vulnerabilities are not exposed.</t>
  </si>
  <si>
    <t>backend/pom.xml; CredentialImportExportService.java</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</si>
  <si>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</si>
  <si>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</si>
  <si>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</si>
  <si>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</si>
  <si>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Applicable to Kryptos due to diverse data inputs (emails, vault names); need to document strict validation rules for every data field.</t>
  </si>
  <si>
    <t>V2.1.2</t>
  </si>
  <si>
    <t>Verify that the application's documentation defines how to validate the logical and contextual consistency of combined data items, such as checking that suburb and ZIP code match.</t>
  </si>
  <si>
    <t>Applicable to Kryptos due to related data entities (User-Vault-Credential); need to document how logical consistency is validated between these objects.</t>
  </si>
  <si>
    <t>V2.1.3</t>
  </si>
  <si>
    <t>Verify that expectations for business logic limits and validations are documented, including both per-user and globally across the application.</t>
  </si>
  <si>
    <t>Applicable to Kryptos due to resource management; need to document global and per-user limits for vaults and credential entries.</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</si>
  <si>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</si>
  <si>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</si>
  <si>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</si>
  <si>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</si>
  <si>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Implemented via DTO bean validation (@NotBlank, @Email, @Size) on every request record and positive validation on file uploads (extension allowlist [A-Za-z0-9]{1,8} and CRLF stripping in CredentialImportExportService.safe()).</t>
  </si>
  <si>
    <t>backend/src/main/java/com/kryptos/**/dto/*.java; backend/src/main/java/com/kryptos/filehandling/application/FileHandlingService.java#storeUpload; CredentialControllerTest.create_shouldReturn400_whenServiceNameIsBlank</t>
  </si>
  <si>
    <t>V2.2.2</t>
  </si>
  <si>
    <t>Verify that the application is designed to enforce input validation at a trusted service layer. While client-side validation improves usability and should be encouraged, it must not be relied upon as a security control.</t>
  </si>
  <si>
    <t>All validation lives in the backend service/controller layer; there is no frontend in scope and no validation is delegated to the client. DTOs are validated via @Valid in controllers; ownership and business invariants are enforced in services.</t>
  </si>
  <si>
    <t>backend/src/main/java/com/kryptos/**/api/*Controller.java; backend/src/main/java/com/kryptos/**/application/*Service.java</t>
  </si>
  <si>
    <t>V2.2.3</t>
  </si>
  <si>
    <t>Verify that the application ensures that combinations of related data items are reasonable according to the pre-defined rules.</t>
  </si>
  <si>
    <t>Composite consistency checks: CredentialService.create validates vault ownership before saving (vaultRepository.existsByIdAndOwnerId); TrustedDeviceService.register rejects fingerprints already bound to another user.</t>
  </si>
  <si>
    <t>backend/src/main/java/com/kryptos/credential/application/CredentialService.java; backend/src/main/java/com/kryptos/trusteddevice/application/TrustedDeviceService.java</t>
  </si>
  <si>
    <t>V2.3</t>
  </si>
  <si>
    <t>Business Logic Security</t>
  </si>
  <si>
    <t>V2.3.1</t>
  </si>
  <si>
    <t>Verify that the application will only process business logic flows for the same user in the expected sequential step order and without skipping steps.</t>
  </si>
  <si>
    <t>Kryptos exposes a stateless REST API; every authenticated request is independently authorized via @PreAuthorize and ownership checks. There are no multi-step server-side flows whose sequence could be bypassed, so step-skipping is not exploitable.</t>
  </si>
  <si>
    <t>All controllers under backend/src/main/java/com/kryptos/**/api/</t>
  </si>
  <si>
    <t>V2.3.2</t>
  </si>
  <si>
    <t>Verify that business logic limits are implemented per the application's documentation to avoid business logic flaws being exploited.</t>
  </si>
  <si>
    <t>Business-logic limits are implemented in code (5 login attempts → 15 min lockout, 5 imports/min/principal, 5 exports/min/principal, 5 MiB file cap, 50 000 line cap). Formal documentation of these limits is still pending.</t>
  </si>
  <si>
    <t>backend/src/main/java/com/kryptos/auth/application/AuthService.java; backend/src/main/java/com/kryptos/filehandling/application/ImportExportRateLimiter.java; backend/src/main/java/com/kryptos/filehandling/application/FileHandlingService.java</t>
  </si>
  <si>
    <t>V2.3.3</t>
  </si>
  <si>
    <t>Verify that transactions are being used at the business logic level such that either a business logic operation succeeds in its entirety or it is rolled back to the previous correct state.</t>
  </si>
  <si>
    <t>Every mutating service method is annotated @Transactional, so a partial failure rolls back the operation (e.g., CredentialService.create, VaultService.delete, AuditService.log, CredentialImportExportService.importForOwner).</t>
  </si>
  <si>
    <t>backend/src/main/java/com/kryptos/**/application/*Service.java</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</si>
  <si>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</si>
  <si>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</si>
  <si>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</si>
  <si>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</si>
  <si>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</si>
  <si>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</si>
  <si>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</si>
  <si>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</si>
  <si>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Anti-automation: login endpoint enforces 5 attempts/min/principal with a 15 min lockout (AuthService); import/export endpoints enforce 5 requests/min/principal via ImportExportRateLimiter → HTTP 429.</t>
  </si>
  <si>
    <t>AuthService.java; ImportExportRateLimiter.java; AuthServiceTest.login_shouldLockAccount_afterMaxFailedAttempts; ImportExportRateLimiterTest.tryAcquireExport_allowsFivePerMinute_thenThrottles</t>
  </si>
  <si>
    <t>V2.4.2</t>
  </si>
  <si>
    <t>Verify that business logic flows require realistic human timing, preventing excessively rapid transaction submissions.</t>
  </si>
  <si>
    <t>Anti-automation realised through ImportExportRateLimiter (5 req/min/principal on import and export) and AuthService (5 login attempts/min/principal → 15 min lockout). Both implement the "no rapid submissions" intent of the requirement.</t>
  </si>
  <si>
    <t>AuthService.java; ImportExportRateLimiter.java; ImportExportRateLimiterTest</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</si>
  <si>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</si>
  <si>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</si>
  <si>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</si>
  <si>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</si>
  <si>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</si>
  <si>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</si>
  <si>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</si>
  <si>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</si>
  <si>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</si>
  <si>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</si>
  <si>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</si>
  <si>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</si>
  <si>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</si>
  <si>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</si>
  <si>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</si>
  <si>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</si>
  <si>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</si>
  <si>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</si>
  <si>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</si>
  <si>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</si>
  <si>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</si>
  <si>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</si>
  <si>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</si>
  <si>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</si>
  <si>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</si>
  <si>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</si>
  <si>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</si>
  <si>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</si>
  <si>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</si>
  <si>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</si>
  <si>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</si>
  <si>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</si>
  <si>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</si>
  <si>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</si>
  <si>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</si>
  <si>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</si>
  <si>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</si>
  <si>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</si>
  <si>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</si>
  <si>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</si>
  <si>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</si>
  <si>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</si>
  <si>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</si>
  <si>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</si>
  <si>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</si>
  <si>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</si>
  <si>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</si>
  <si>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</si>
  <si>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</si>
  <si>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</si>
  <si>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</si>
  <si>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</si>
  <si>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</si>
  <si>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</si>
  <si>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</si>
  <si>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</si>
  <si>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</si>
  <si>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</si>
  <si>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</si>
  <si>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</si>
  <si>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</si>
  <si>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</si>
  <si>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</si>
  <si>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</si>
  <si>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</si>
  <si>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</si>
  <si>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</si>
  <si>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</si>
  <si>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</si>
  <si>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</si>
  <si>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</si>
  <si>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</si>
  <si>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</si>
  <si>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</si>
  <si>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</si>
  <si>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</si>
  <si>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</si>
  <si>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</si>
  <si>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</si>
  <si>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</si>
  <si>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Spring Boot defaults to application/json;charset=UTF-8 on JSON responses; the export endpoint explicitly sets Content-Type=application/octet-stream with a Content-Disposition header and X-Content-Type-Options=nosniff.</t>
  </si>
  <si>
    <t>backend/src/main/java/com/kryptos/filehandling/api/ImportExportController.java#exportCredentials</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</si>
  <si>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</si>
  <si>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</si>
  <si>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</si>
  <si>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</si>
  <si>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The application reads identity exclusively from @AuthenticationPrincipal (set by JwtAuthFilter after verifying the Authorization Bearer token). It does not read X-Forwarded-User / X-User-Id / X-Real-IP or any intermediary-set identity header. Spring Boot default server.forward-headers-strategy is NONE.</t>
  </si>
  <si>
    <t>JwtAuthFilter.java; SecurityConfig.java; all controllers</t>
  </si>
  <si>
    <t>V4.1.4</t>
  </si>
  <si>
    <t>Verify that only HTTP methods that are explicitly supported by the application or its API (including OPTIONS during preflight requests) can be used and that unused methods are blocked.</t>
  </si>
  <si>
    <t>Spring MVC returns 405 by default for HTTP methods that are not mapped, and the only mapped methods per endpoint are explicit (POST/GET/PUT/DELETE/PATCH). An explicit method allowlist filter is not in place.</t>
  </si>
  <si>
    <t>backend/src/main/java/com/kryptos/**/api/*Controller.java</t>
  </si>
  <si>
    <t>V4.1.5</t>
  </si>
  <si>
    <t>Verify that per-message digital signatures are used to provide additional assurance on top of transport protections for requests or transactions which are highly sensitive or which traverse a number of systems.</t>
  </si>
  <si>
    <t>Applicable to Kryptos due to HTTP header management; need to ensure that user input cannot manipulate or override security-relevant response headers.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</si>
  <si>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</si>
  <si>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</si>
  <si>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</si>
  <si>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</si>
  <si>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HTTP message boundary parsing is delegated to the Spring Boot embedded Tomcat connector, which correctly handles Content-Length and Transfer-Encoding per RFC 7230 and rejects ambiguous messages by default.</t>
  </si>
  <si>
    <t>Spring Boot 3.5 embedded Tomcat defaults</t>
  </si>
  <si>
    <t>V4.2.2</t>
  </si>
  <si>
    <t>Verify that when generating HTTP messages, the Content-Length header field does not conflict with the length of the content as determined by the framing of the HTTP protocol, in order to prevent request smuggling attacks.</t>
  </si>
  <si>
    <t>Responses are produced by Spring MVC; Content-Length is set automatically to match the serialized body length. No manual Content-Length writes anywhere in the code.</t>
  </si>
  <si>
    <t>Spring MVC default ResponseBodyEmitter / HttpMessageConverter behaviour</t>
  </si>
  <si>
    <t>V4.2.3</t>
  </si>
  <si>
    <t>Verify that the application does not send nor accept HTTP/2 or HTTP/3 messages with connection-specific header fields such as Transfer-Encoding to prevent response splitting and header injection attacks.</t>
  </si>
  <si>
    <t>Tomcat HTTP/2 connector rejects connection-specific header fields per RFC 7540 §8.1.2.2 by default. Application does not synthesise such headers anywhere.</t>
  </si>
  <si>
    <t>Embedded Tomcat HTTP/2 defaults</t>
  </si>
  <si>
    <t>V4.2.4</t>
  </si>
  <si>
    <t>Verify that the application only accepts HTTP/2 and HTTP/3 requests where the header fields and values do not contain any CR (\r), LF (\n), or CRLF (\r\n) sequences, to prevent header injection attacks.</t>
  </si>
  <si>
    <t>CR / LF in header names or values are rejected by Tomcat at the HTTP-parser level. Application does not assemble headers from user input — the only response headers come from controller code with static names + bounded values (Content-Type, Content-Disposition, Cache-Control, X-Content-Type-Options).</t>
  </si>
  <si>
    <t>ImportExportController.exportCredentials; SecurityConfig.headers(...)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</si>
  <si>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</si>
  <si>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</si>
  <si>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The backend does not build or send outbound HTTP requests on behalf of users. There is no RestTemplate / WebClient / HttpClient usage, so URI- or header-injection on outbound calls is not reachable.</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</si>
  <si>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</si>
  <si>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</si>
  <si>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</si>
  <si>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</si>
  <si>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</si>
  <si>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</si>
  <si>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</si>
  <si>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</si>
  <si>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</si>
  <si>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</si>
  <si>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</si>
  <si>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</si>
  <si>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</si>
  <si>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</si>
  <si>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</si>
  <si>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</si>
  <si>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</si>
  <si>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</si>
  <si>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</si>
  <si>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</si>
  <si>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Limits exist in code (5 MiB upload cap → 413, 50 000 line record cap, extension allowlist [A-Za-z0-9]{1,8}, 0600 file perms). A formal upload-feature documentation matrix is still pending.</t>
  </si>
  <si>
    <t>FileHandlingService.java; ImportExportController.java</t>
  </si>
  <si>
    <t>V5.2</t>
  </si>
  <si>
    <t>File Upload and Content</t>
  </si>
  <si>
    <t>V5.2.1</t>
  </si>
  <si>
    <t>Verify that the application will only accept files of a size which it can process without causing a loss of performance or a denial of service attack.</t>
  </si>
  <si>
    <t>5 MiB cap enforced both at controller (HTTP 413) and at FileHandlingService.storeUpload; importCredentials caps records at 50 000 lines.</t>
  </si>
  <si>
    <t>ImportExportController.java#importCredentials (HTTP 413 branch); FileHandlingServiceTest.storeUpload_shouldRejectOversizeFile</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</si>
  <si>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</si>
  <si>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</si>
  <si>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Extensions are filtered against a conservative allowlist ([A-Za-z0-9]{1,8}, lowercased). Content validity is enforced downstream by decrypting and JSON-parsing each line; malformed lines are skipped (importForOwner).</t>
  </si>
  <si>
    <t>FileHandlingService.java#storeUpload; CredentialImportExportService.java#importForOwner</t>
  </si>
  <si>
    <t>V5.2.3</t>
  </si>
  <si>
    <t>Verify that the application checks compressed files (e.g., zip, gz, docx, odt) against maximum allowed uncompressed size and against maximum number of files before uncompressing the file.</t>
  </si>
  <si>
    <t>Kryptos accepts only newline-delimited .kvault import files; no compressed archives (zip, gz, tar, etc.) are decompressed. The compression-bomb attack surface is therefore absent. Hard caps remain in place: 5 MiB payload (HTTP 413) and 50 000 lines.</t>
  </si>
  <si>
    <t>ImportExportController#importCredentials; FileHandlingService#importCredentials</t>
  </si>
  <si>
    <t>V5.2.4</t>
  </si>
  <si>
    <t>Verify that a file size quota and maximum number of files per user are enforced to ensure that a single user cannot fill up the storage with too many files, or excessively large files.</t>
  </si>
  <si>
    <t>Files are never retained per user: every upload is parsed and securely wiped within the same request, every export streams a freshly built temp file that is wiped immediately after the response body is written. ImportExportRateLimiter caps both endpoints at 5 requests/min/principal → 429.</t>
  </si>
  <si>
    <t>CredentialImportExportService#importForOwner/exportForOwner; FileHandlingService#secureDelete; ImportExportRateLimiter</t>
  </si>
  <si>
    <t>V5.2.5</t>
  </si>
  <si>
    <t>Verify that the application does not allow uploading compressed files containing symlinks unless this is specifically required (in which case it will be necessary to enforce an allowlist of the files that can be symlinked to).</t>
  </si>
  <si>
    <t>Compressed archives are not accepted by any endpoint (see V5.2.3); symlink-in-archive cannot be reached because no decompression is performed.</t>
  </si>
  <si>
    <t>ImportExportController; FileHandlingService</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</si>
  <si>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</si>
  <si>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</si>
  <si>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</si>
  <si>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</si>
  <si>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</si>
  <si>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</si>
  <si>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Files are written to an isolated temp directory (kryptos.storage.temp-dir, 0700) outside any web-served path. No static-file handler is registered on the temp dir, so uploads cannot be served as program code.</t>
  </si>
  <si>
    <t>FileHandlingService.java#initTempDir; application.properties#kryptos.storage.temp-dir</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</si>
  <si>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</si>
  <si>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</si>
  <si>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User filenames are never used as paths. Uploads are stored as import-&lt;UUID&gt;&lt;sanitised-extension&gt;; exports as export-&lt;UUID&gt;.kvault. Path-traversal protection via verifyWithinTempDir.</t>
  </si>
  <si>
    <t>FileHandlingService.java; FileHandlingServiceTest.storeUpload_sanitisesFilename</t>
  </si>
  <si>
    <t>V5.3.3</t>
  </si>
  <si>
    <t>Verify that server-side file processing, such as file decompression, ignores user-provided path information to prevent vulnerabilities such as zip slip.</t>
  </si>
  <si>
    <t>No server-side decompression occurs. Zip-slip / path-traversal-via-archive is not exposed. The single path-traversal mitigation on the upload path is verifyWithinTempDir(), enforced on every read/write.</t>
  </si>
  <si>
    <t>FileHandlingService#verifyWithinTempDir; FileHandlingServiceTest.secureDelete_refusesPathOutsideTempDir</t>
  </si>
  <si>
    <t>V5.4</t>
  </si>
  <si>
    <t>File Download</t>
  </si>
  <si>
    <t>V5.4.1</t>
  </si>
  <si>
    <t>Verify that the application validates or ignores user-submitted filenames, including in a JSON, JSONP, or URL parameter and specifies a filename in the Content-Disposition header field in the response.</t>
  </si>
  <si>
    <t>Export response sets Content-Disposition: attachment; filename="kryptos-export.kvault" — a fixed server-controlled name. No user-submitted filename is echoed in headers.</t>
  </si>
  <si>
    <t>ImportExportController.java#exportCredentials</t>
  </si>
  <si>
    <t>V5.4.2</t>
  </si>
  <si>
    <t>Verify that file names served (e.g., in HTTP response header fields or email attachments) are encoded or sanitized (e.g., following RFC 6266) to preserve document structure and prevent injection attacks.</t>
  </si>
  <si>
    <t>The Content-Disposition filename is hardcoded and ASCII-only; X-Content-Type-Options: nosniff is also set on the response.</t>
  </si>
  <si>
    <t>V5.4.3</t>
  </si>
  <si>
    <t>Verify that files obtained from untrusted sources are scanned by antivirus scanners to prevent serving of known malicious content.</t>
  </si>
  <si>
    <t>Scanning files from untrusted sources ensures Kryptos does not store or distribute known malware during credential import/export operations.</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</si>
  <si>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</si>
  <si>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</si>
  <si>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</si>
  <si>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</si>
  <si>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Rate-limiting / anti-automation controls are implemented (5 attempts/15-min lockout on login; 5 req/min on import/export). A formal "authentication anti-automation controls" documentation entry in the security baseline is still pending.</t>
  </si>
  <si>
    <t>AuthService.java; ImportExportRateLimiter.java</t>
  </si>
  <si>
    <t>V6.1.2</t>
  </si>
  <si>
    <t>Verify that a list of context-specific words is documented in order to prevent their use in passwords. The list could include permutations of organization names, product names, system identifiers, project codenames, department or role names, and similar.</t>
  </si>
  <si>
    <t>Defines restricted, context-specific terms in Kryptos so users cannot choose predictable passwords related to the organization, reducing the risk of guessing attacks.</t>
  </si>
  <si>
    <t>V6.1.3</t>
  </si>
  <si>
    <t>Verify that, if the application includes multiple authentication pathways, these are all documented together with the security controls and authentication strength which must be consistently enforced across them.</t>
  </si>
  <si>
    <t>Kryptos exposes a single authentication pathway (username/email + password → JWT issuance at POST /api/auth/login). No alternative authentication routes (SSO, certificate, API key) exist, so multi-pathway consistency is trivially satisfied.</t>
  </si>
  <si>
    <t>AuthController.java; AuthService.login</t>
  </si>
  <si>
    <t>V6.2</t>
  </si>
  <si>
    <t>Password Security</t>
  </si>
  <si>
    <t>V6.2.1</t>
  </si>
  <si>
    <t>Verify that user set passwords are at least 8 characters in length although a minimum of 15 characters is strongly recommended.</t>
  </si>
  <si>
    <t>RegisterRequest enforces @Size(min=12) on the password, exceeding the L1 minimum of 8 characters.</t>
  </si>
  <si>
    <t>backend/src/main/java/com/kryptos/auth/application/dto/RegisterRequest.java</t>
  </si>
  <si>
    <t>V6.2.2</t>
  </si>
  <si>
    <t>Verify that users can change their password.</t>
  </si>
  <si>
    <t>Allows Kryptos users to update their passwords, enabling recovery from potential compromise and maintaining account security.</t>
  </si>
  <si>
    <t>V6.2.3</t>
  </si>
  <si>
    <t>Verify that password change functionality requires the user's current and new password.</t>
  </si>
  <si>
    <t>Requires Kryptos users to provide their current password when setting a new one, preventing unauthorized changes from compromised sessions.</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</si>
  <si>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</si>
  <si>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</si>
  <si>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</si>
  <si>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</si>
  <si>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No character composition rules on passwords; only @Size(min=12). Any combination of characters is accepted.</t>
  </si>
  <si>
    <t>RegisterRequest.java</t>
  </si>
  <si>
    <t>V6.2.6</t>
  </si>
  <si>
    <t>Verify that password input fields use type=password to mask the entry. Applications may allow the user to temporarily view the entire masked password, or the last typed character of the password.</t>
  </si>
  <si>
    <t>Backend-only project; UI-side password masking (type=password) requires a frontend. This will be addressed when a client UI is integrated.</t>
  </si>
  <si>
    <t>V6.2.7</t>
  </si>
  <si>
    <t>Verify that "paste" functionality, browser password helpers, and external password managers are permitted.</t>
  </si>
  <si>
    <t>Backend-only project; paste / browser password manager support is a frontend concern. Will be revisited when the UI is in scope.</t>
  </si>
  <si>
    <t>V6.2.8</t>
  </si>
  <si>
    <t>Verify that the application verifies the user's password exactly as received from the user, without any modifications such as truncation or case transformation.</t>
  </si>
  <si>
    <t>Passwords are hashed exactly as received (Argon2PasswordEncoder operates on raw UTF-8 bytes); no truncation or case transformation is performed.</t>
  </si>
  <si>
    <t>SecurityConfig.passwordEncoder(); AuthService.register/login</t>
  </si>
  <si>
    <t>V6.2.9</t>
  </si>
  <si>
    <t>Verify that passwords of at least 64 characters are permitted.</t>
  </si>
  <si>
    <t>RegisterRequest only enforces @Size(min=12); there is no upper bound, so 64+ character passwords are accepted.</t>
  </si>
  <si>
    <t>V6.2.10</t>
  </si>
  <si>
    <t>Verify that a user's password stays valid until it is discovered to be compromised or the user rotates it. The application must not require periodic credential rotation.</t>
  </si>
  <si>
    <t>No periodic-rotation policy is enforced; passwords remain valid indefinitely until the user changes them or they are flagged as compromised.</t>
  </si>
  <si>
    <t>UserService.java (no rotation logic)</t>
  </si>
  <si>
    <t>V6.2.11</t>
  </si>
  <si>
    <t>Verify that the documented list of context specific words is used to prevent easy to guess passwords being created.</t>
  </si>
  <si>
    <t>Applies Kryptos’s list of context-specific terms during password creation to block predictable and easily guessable passwords.</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</si>
  <si>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</si>
  <si>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</si>
  <si>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</si>
  <si>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</si>
  <si>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</si>
  <si>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</si>
  <si>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AuthService.login enforces 5 failed attempts/min/principal with a 15 min lockout (AuditAction.LOGIN_FAILED emitted on every failure and on lockout).</t>
  </si>
  <si>
    <t>AuthService.java; AuthServiceTest.login_shouldLockAccount_afterMaxFailedAttempts</t>
  </si>
  <si>
    <t>V6.3.2</t>
  </si>
  <si>
    <t>Verify that default user accounts (e.g., "root", "admin", or "sa") are not present in the application or are disabled.</t>
  </si>
  <si>
    <t>No bootstrap admin / seed accounts. The first user registered through /api/auth/register is created with Role.USER; ADMIN role can only be granted by an existing ADMIN.</t>
  </si>
  <si>
    <t>AuthService.register; UserService.updateUserRole</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</si>
  <si>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</si>
  <si>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</si>
  <si>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Requires Kryptos to use strong multi-factor authentication to reduce the risk of account compromise and phishing-based attacks.</t>
  </si>
  <si>
    <t>V6.3.4</t>
  </si>
  <si>
    <t>Verify that, if the application includes multiple authentication pathways, there are no undocumented pathways and that security controls and authentication strength are enforced consistently.</t>
  </si>
  <si>
    <t>Same as V6.1.3 — exactly one authentication pathway exists, so there are no undocumented alternatives and security strength is enforced consistently (Argon2 + 5/15 lockout + JWT issuance).</t>
  </si>
  <si>
    <t>AuthController.java</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</si>
  <si>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</si>
  <si>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</si>
  <si>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Notifies  users of suspicious login activity so they can detect and respond quickly to potential unauthorized access.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</si>
  <si>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</si>
  <si>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</si>
  <si>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</si>
  <si>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</si>
  <si>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Alerts users when authentication details are changed, helping them detect and respond to unauthorized account modifications.</t>
  </si>
  <si>
    <t>V6.3.8</t>
  </si>
  <si>
    <t>Verify that valid users cannot be deduced from failed authentication challenges, such as by basing on error messages, HTTP response codes, or different response times. Registration and forgot password functionality must also have this protection.</t>
  </si>
  <si>
    <t>Prevents Kryptos from revealing whether a username exists by ensuring authentication, registration, and recovery responses are uniform, reducing the risk of user enumeration attacks.</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</si>
  <si>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</si>
  <si>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</si>
  <si>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</si>
  <si>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</si>
  <si>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Kryptos does not generate initial passwords or activation codes; users set their own password at registration (validated via @Size(min=12)). The attack surface for predictable system-generated credentials is absent.</t>
  </si>
  <si>
    <t>AuthService.register; RegisterRequest.java</t>
  </si>
  <si>
    <t>V6.4.2</t>
  </si>
  <si>
    <t>Verify that password hints or knowledge-based authentication (so-called "secret questions") are not present.</t>
  </si>
  <si>
    <t>No password hints, security questions, or knowledge-based authentication exist in any DTO, service, or endpoint. Password reset (when added) will follow ASVS guidance.</t>
  </si>
  <si>
    <t>No such feature in backend/src/main/java</t>
  </si>
  <si>
    <t>V6.4.3</t>
  </si>
  <si>
    <t>Verify that a secure process for resetting a forgotten password is implemented, that does not bypass any enabled multi-factor authentication mechanisms.</t>
  </si>
  <si>
    <t>Requires Kryptos to implement a secure password reset process that preserves MFA protections, preventing attackers from bypassing additional authentication factors.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</si>
  <si>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</si>
  <si>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</si>
  <si>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</si>
  <si>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</si>
  <si>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Provides users with timely renewal notifications for expiring authentication methods, preventing loss of access and maintaining continuous account security.</t>
  </si>
  <si>
    <t>V6.4.6</t>
  </si>
  <si>
    <t>Verify that administrative users can initiate the password reset process for the user, but that this does not allow them to change or choose the user's password. This prevents a situation where they know the user's password.</t>
  </si>
  <si>
    <t>Allows  administrators to assist with password resets without ever knowing or setting the user’s actual password, preserving account confidentiality.</t>
  </si>
  <si>
    <t>V6.5</t>
  </si>
  <si>
    <t>General Multi-factor authentication requirements</t>
  </si>
  <si>
    <t>V6.5.1</t>
  </si>
  <si>
    <t>Verify that lookup secrets, out-of-band authentication requests or codes, and time-based one-time passwords (TOTPs) are only successfully usable once.</t>
  </si>
  <si>
    <t>Prevents Kryptos from accepting reused authentication codes, reducing replay attacks and protecting account access.</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</si>
  <si>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</si>
  <si>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</si>
  <si>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Requires Kryptos to store lower-entropy lookup secrets securely with salted password hashing, reducing the risk of secret disclosure if backend data is compromised.</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</si>
  <si>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</si>
  <si>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</si>
  <si>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</si>
  <si>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</si>
  <si>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</si>
  <si>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</si>
  <si>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Defines short lifetimes for authentication codes in Kryptos to limit their validity window and reduce the risk of interception or reuse.</t>
  </si>
  <si>
    <t>V6.5.6</t>
  </si>
  <si>
    <t>Verify that any authentication factor (including physical devices) can be revoked in case of theft or other loss.</t>
  </si>
  <si>
    <t>Allows revoking compromised authentication factors, preventing unauthorized access if a device or credential is lost or stolen.</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</si>
  <si>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</si>
  <si>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</si>
  <si>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</si>
  <si>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</si>
  <si>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Uses a trusted server-side time source in Kryptos for TOTP validation, preventing manipulation of authentication by altering client-side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</si>
  <si>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</si>
  <si>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</si>
  <si>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</si>
  <si>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</si>
  <si>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</si>
  <si>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</si>
  <si>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</si>
  <si>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</si>
  <si>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</si>
  <si>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</si>
  <si>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</si>
  <si>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</si>
  <si>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</si>
  <si>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</si>
  <si>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</si>
  <si>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</si>
  <si>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</si>
  <si>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</si>
  <si>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</si>
  <si>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</si>
  <si>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</si>
  <si>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</si>
  <si>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</si>
  <si>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</si>
  <si>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</si>
  <si>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</si>
  <si>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</si>
  <si>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</si>
  <si>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</si>
  <si>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</si>
  <si>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Session lifetime is configured via JWT_EXPIRATION (default 3600000 ms = 1 h, documented in backend/.env.example). Formal documentation of the rationale and combined-controls analysis is pending.</t>
  </si>
  <si>
    <t>application.properties#jwt.expiration; backend/.env.example</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</si>
  <si>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</si>
  <si>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</si>
  <si>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</si>
  <si>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</si>
  <si>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</si>
  <si>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</si>
  <si>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</si>
  <si>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</si>
  <si>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JwtAuthFilter validates the token on every request against JwtService.isTokenValid (signature, username, expiry). Spring SessionCreationPolicy.STATELESS.</t>
  </si>
  <si>
    <t>backend/src/main/java/com/kryptos/shared/security/JwtAuthFilter.java; SecurityConfig.java</t>
  </si>
  <si>
    <t>V7.2.2</t>
  </si>
  <si>
    <t>Verify that the application uses either self-contained or reference tokens that are dynamically generated for session management, i.e. not using static API secrets and keys.</t>
  </si>
  <si>
    <t>JWTs are generated dynamically per login (signed with HS256 over user+role+iat+exp). No static API secret is used as a session token.</t>
  </si>
  <si>
    <t>JwtService.generateToken; AuthService.login</t>
  </si>
  <si>
    <t>V7.2.3</t>
  </si>
  <si>
    <t>Verify that if reference tokens are used to represent user sessions, they are unique and generated using a cryptographically secure pseudo-random number generator (CSPRNG) and possess at least 128 bits of entropy.</t>
  </si>
  <si>
    <t>Kryptos uses self-contained JWTs signed with HS256, not opaque reference tokens. The token integrity is guaranteed by the 256-bit HMAC signature (entropy ≥128 bits enforced at startup by JwtService.getSigningKey, which rejects secrets shorter than 32 bytes).</t>
  </si>
  <si>
    <t>JwtService.java; JwtServiceTest.constructor_shouldThrow_whenSecretIsTooShort</t>
  </si>
  <si>
    <t>V7.2.4</t>
  </si>
  <si>
    <t>Verify that the application generates a new session token on user authentication, including re-authentication, and terminates the current session token.</t>
  </si>
  <si>
    <t>Generating a new session token upon authentication in Kryptos and invalidating the previous one reduces the risk of session fixation and unauthorized session reuse.</t>
  </si>
  <si>
    <t>V7.3</t>
  </si>
  <si>
    <t>Session Timeout</t>
  </si>
  <si>
    <t>V7.3.1</t>
  </si>
  <si>
    <t>Verify that there is an inactivity timeout such that re-authentication is enforced according to risk analysis and documented security decisions.</t>
  </si>
  <si>
    <t>Session timeout is enforced via JWT expiry (default JWT_EXPIRATION = 3 600 000 ms = 1 h). Expired tokens are rejected by JwtService.isTokenValid.</t>
  </si>
  <si>
    <t>JwtService.isTokenExpired; JwtServiceTest.isTokenValid_shouldReturnFalse_forExpiredToken</t>
  </si>
  <si>
    <t>V7.3.2</t>
  </si>
  <si>
    <t>Verify that there is an absolute maximum session lifetime such that re-authentication is enforced according to risk analysis and documented security decisions.</t>
  </si>
  <si>
    <t>Absolute lifetime = JWT exp claim (1 h by default); no refresh-token endpoint exists, so re-auth is required after exp.</t>
  </si>
  <si>
    <t>JwtService.generateToken; application.properties#jwt.expiration</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</si>
  <si>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</si>
  <si>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</si>
  <si>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</si>
  <si>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</si>
  <si>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Proper session termination in Kryptos ensures that once a session ends, its token can no longer be used, preventing unauthorized reuse or hijacking of expired sessions.</t>
  </si>
  <si>
    <t>V7.4.2</t>
  </si>
  <si>
    <t>Verify that the application terminates all active sessions when a user account is disabled or deleted (such as an employee leaving the company).</t>
  </si>
  <si>
    <t>Terminating all active sessions when an account is disabled or deleted prevents former users from retaining access to sensitive information.</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</si>
  <si>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</si>
  <si>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</si>
  <si>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</si>
  <si>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</si>
  <si>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</si>
  <si>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</si>
  <si>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Allowing administrators  to terminate user sessions enables rapid response to security incidents and prevents ongoing unauthorized access.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</si>
  <si>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</si>
  <si>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</si>
  <si>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</si>
  <si>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</si>
  <si>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Requiring full re-authentication  before changing sensitive account details prevents attackers with a hijacked session from altering authentication or recovery information.</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</si>
  <si>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</si>
  <si>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</si>
  <si>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</si>
  <si>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</si>
  <si>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</si>
  <si>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</si>
  <si>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</si>
  <si>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</si>
  <si>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</si>
  <si>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</si>
  <si>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A session (JWT) is only issued in response to an explicit POST /api/auth/login with valid credentials supplied by the user. There is no implicit / silent session creation path.</t>
  </si>
  <si>
    <t>AuthController.login; AuthService.login</t>
  </si>
  <si>
    <t>V8.1</t>
  </si>
  <si>
    <t>Authorization Documentation</t>
  </si>
  <si>
    <t>V8.1.1</t>
  </si>
  <si>
    <t>Verify that authorization documentation defines rules for restricting function-level and data-specific access based on consumer permissions and resource attributes.</t>
  </si>
  <si>
    <t>Authorization rules are implemented via @PreAuthorize on every controller method (function-level) and ownership checks in services (data-level). A consolidated authorization documentation artefact mapping endpoints to roles and ownership rules is still pending.</t>
  </si>
  <si>
    <t>All controllers; Sprint1/ThreatIdentification.md</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</si>
  <si>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</si>
  <si>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</si>
  <si>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Field-level access is implemented via response DTOs that explicitly omit sensitive fields (CredentialResponse excludes encryptedPassword, UserResponse excludes password hash). Formal field-level access matrix documentation is pending.</t>
  </si>
  <si>
    <t>CredentialResponse.java; UserResponse.java</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</si>
  <si>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</si>
  <si>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</si>
  <si>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</si>
  <si>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</si>
  <si>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</si>
  <si>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</si>
  <si>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</si>
  <si>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</si>
  <si>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Function-level access control via @PreAuthorize on every controller method (USER / ADMIN / AUDITOR / hasAnyRole). @EnableMethodSecurity enforces it at the proxy layer.</t>
  </si>
  <si>
    <t>All controllers under backend/src/main/java/com/kryptos/**/api/; AuditControllerTest (RBAC 200/401)</t>
  </si>
  <si>
    <t>V8.2.2</t>
  </si>
  <si>
    <t>Verify that the application ensures that data-specific access is restricted to consumers with explicit permissions to specific data items to mitigate insecure direct object reference (IDOR) and broken object level authorization (BOLA).</t>
  </si>
  <si>
    <t>IDOR mitigations: every read/write on Vault, Credential and TrustedDevice is scoped by ownerId in the repository query or checked via existsByIdAndOwnerId / fingerprint ownership. IDOR negative tests exist for each aggregate.</t>
  </si>
  <si>
    <t>VaultServiceTest.findById_shouldThrow_whenVaultDoesNotBelongToOwner; CredentialServiceTest.create/findById/delete_shouldThrow_whenCredentialDoesNotBelongToOwner; TrustedDeviceServiceTest.findById_shouldThrowNotFound_whenCallerIsNotOwner_idorSafe</t>
  </si>
  <si>
    <t>V8.2.3</t>
  </si>
  <si>
    <t>Verify that the application ensures that field-level access is restricted to consumers with explicit permissions to specific fields to mitigate broken object property level authorization (BOPLA).</t>
  </si>
  <si>
    <t>Response DTOs deliberately omit sensitive fields: CredentialResponse excludes encryptedPassword; UserResponse excludes the password hash. Request DTOs (records) whitelist only the fields the caller is allowed to set.</t>
  </si>
  <si>
    <t>CredentialResponse.java; UserResponse.java; UpdateRoleRequest.java; RegisterRequest.java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</si>
  <si>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</si>
  <si>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</si>
  <si>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Partially applicable, since Kryptos includes trusted device management and auditing features that could support contextual controls, but adaptive authentication based on factors like location or time is not explicitly described.</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</si>
  <si>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</si>
  <si>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</si>
  <si>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</si>
  <si>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</si>
  <si>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</si>
  <si>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</si>
  <si>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Authorization decisions read claims from the JWT, so changes (e.g., role demotion) only propagate after the token expires. The maximum delay equals JWT_EXPIRATION (1 h by default); documentation of this delay window is pending.</t>
  </si>
  <si>
    <t>JwtService.generateToken; UserService.updateUserRole; application.properties#jwt.expiration</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</si>
  <si>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</si>
  <si>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</si>
  <si>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Object access is always decided on the originating subject's permissions: services read the authenticated user via @AuthenticationPrincipal KryptosUserDetails or SecurityContextHolder and pass ownerId into every repository query. No service acts on behalf of another principal.</t>
  </si>
  <si>
    <t>All controllers; all services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</si>
  <si>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</si>
  <si>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</si>
  <si>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</si>
  <si>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</si>
  <si>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</si>
  <si>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</si>
  <si>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</si>
  <si>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</si>
  <si>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</si>
  <si>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</si>
  <si>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Token signatures are verified before payload is accepted (Jwts.parser().verifyWith(getSigningKey()).build().parseSignedClaims). Tampered tokens are rejected.</t>
  </si>
  <si>
    <t>JwtService.extractAllClaims; JwtServiceTest.isTokenValid_shouldReturnFalse_forTamperedToken</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</si>
  <si>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</si>
  <si>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</si>
  <si>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Only HS256 is used (Jwts.SIG.HS256). jjwt 0.12.6 rejects alg=none by default; an explicit allowlist test is in JwtServiceTest (garbage/tampered token rejection).</t>
  </si>
  <si>
    <t>JwtService.generateToken; pom.xml#jjwt 0.12.6</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</si>
  <si>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</si>
  <si>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</si>
  <si>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The signing key is derived only from JWT_SECRET (env variable, GitHub repo secret in CI). JwtService.getSigningKey rejects secrets shorter than 32 bytes (IllegalStateException).</t>
  </si>
  <si>
    <t>JwtService.getSigningKey; JwtServiceTest.constructor_shouldThrow_whenSecretIsTooShort</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</si>
  <si>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</si>
  <si>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</si>
  <si>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</si>
  <si>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</si>
  <si>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JwtService.isTokenExpired enforces the exp claim against System.currentTimeMillis(); expired tokens are rejected.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</si>
  <si>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</si>
  <si>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</si>
  <si>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Only one JWT type is issued (an access token with sub + role + iat + exp). There is no separate ID / refresh / authorization token to mis-route, so token-type confusion is not exposed.</t>
  </si>
  <si>
    <t>JwtService.generateToken</t>
  </si>
  <si>
    <t>V9.2.3</t>
  </si>
  <si>
    <t>Verify that the service only accepts tokens which are intended for use with that service (audience). For JWTs, this can be achieved by validating the 'aud' claim against an allowlist defined in the service.</t>
  </si>
  <si>
    <t>JWTs are currently issued without an audience (aud) claim. Adding aud=kryptos at sign time and validating it at verify time is a small, low-risk change targeted for Sprint 3.</t>
  </si>
  <si>
    <t>JwtService.generateToken / extractAllClaims</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</si>
  <si>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</si>
  <si>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</si>
  <si>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</si>
  <si>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</si>
  <si>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</si>
  <si>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</si>
  <si>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</si>
  <si>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</si>
  <si>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</si>
  <si>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</si>
  <si>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</si>
  <si>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</si>
  <si>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</si>
  <si>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</si>
  <si>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</si>
  <si>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</si>
  <si>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</si>
  <si>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</si>
  <si>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</si>
  <si>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</si>
  <si>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</si>
  <si>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</si>
  <si>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Authorization decisions are derived from the role claim in the JWT (used by the @PreAuthorize hasRole(...) checks via Spring Security). The resource server enforces these decisions on every request through JwtAuthFilter + GlobalMethodSecurity.</t>
  </si>
  <si>
    <t>JwtAuthFilter.java; SecurityConfig#@EnableMethodSecurity</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</si>
  <si>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</si>
  <si>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</si>
  <si>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</si>
  <si>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</si>
  <si>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</si>
  <si>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</si>
  <si>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</si>
  <si>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</si>
  <si>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</si>
  <si>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</si>
  <si>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</si>
  <si>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</si>
  <si>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</si>
  <si>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</si>
  <si>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Kryptos does not implement an OAuth authorization code flow. No authorization code is issued, so the maximum-lifetime requirement has no surface to violate.</t>
  </si>
  <si>
    <t>No OAuth in backend/pom.xml or backend/src/main</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</si>
  <si>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</si>
  <si>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</si>
  <si>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</si>
  <si>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</si>
  <si>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Kryptos does not issue refresh tokens. There is no refresh-token replay surface to mitigate.</t>
  </si>
  <si>
    <t>JwtService.generateToken (single access-token issuance only)</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</si>
  <si>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</si>
  <si>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</si>
  <si>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</si>
  <si>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</si>
  <si>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</si>
  <si>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</si>
  <si>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Kryptos does not issue refresh tokens (see V10.4.5). Access tokens have an absolute expiration (exp claim, default 1 h), enforced on every request.</t>
  </si>
  <si>
    <t>JwtService.isTokenExpired</t>
  </si>
  <si>
    <t>V10.4.9</t>
  </si>
  <si>
    <t>Verify that refresh tokens and reference access tokens can be revoked by an authorized user using the authorization server user interface, to mitigate the risk of malicious clients or stolen tokens.</t>
  </si>
  <si>
    <t>Kryptos does not issue refresh tokens or opaque reference access tokens; access tokens are self-contained JWTs that simply expire. There is no revocable token-store surface in scope.</t>
  </si>
  <si>
    <t>JwtService.java</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</si>
  <si>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</si>
  <si>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</si>
  <si>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</si>
  <si>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</si>
  <si>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</si>
  <si>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</si>
  <si>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</si>
  <si>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</si>
  <si>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</si>
  <si>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</si>
  <si>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</si>
  <si>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</si>
  <si>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</si>
  <si>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</si>
  <si>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</si>
  <si>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</si>
  <si>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</si>
  <si>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</si>
  <si>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</si>
  <si>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</si>
  <si>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</si>
  <si>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</si>
  <si>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</si>
  <si>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</si>
  <si>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</si>
  <si>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</si>
  <si>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</si>
  <si>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</si>
  <si>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</si>
  <si>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</si>
  <si>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</si>
  <si>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</si>
  <si>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</si>
  <si>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</si>
  <si>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</si>
  <si>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</si>
  <si>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</si>
  <si>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</si>
  <si>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</si>
  <si>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</si>
  <si>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</si>
  <si>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</si>
  <si>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</si>
  <si>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</si>
  <si>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Applicable to Kryptos due to the encryption of credentials at rest, which requires a documented key-management policy.</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</si>
  <si>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</si>
  <si>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</si>
  <si>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Crypto primitives in use can be enumerated from code: AES-256/GCM/NoPadding (EncryptionService), Argon2id (SecurityConfig.passwordEncoder), HS256 (JwtService), SHA-256 (AuditService, EncryptionService key derivation), SecureRandom. A formal cryptographic inventory document is pending.</t>
  </si>
  <si>
    <t>EncryptionService.java; SecurityConfig.java; JwtService.java; AuditService.java</t>
  </si>
  <si>
    <t>V11.1.3</t>
  </si>
  <si>
    <t>Verify that cryptographic discovery mechanisms are employed to identify all instances of cryptography in the system, including encryption, hashing, and signing operations.</t>
  </si>
  <si>
    <t>Applicable to Kryptos due to the full lifecycle that encryption keys must follow.</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</si>
  <si>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</si>
  <si>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</si>
  <si>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</si>
  <si>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</si>
  <si>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</si>
  <si>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</si>
  <si>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Cryptographic operations rely on industry-validated implementations only: JCE (javax.crypto AES/GCM), Spring Security Argon2PasswordEncoder, io.jsonwebtoken (jjwt) 0.12.6, java.security.SecureRandom.</t>
  </si>
  <si>
    <t>EncryptionService.java; SecurityConfig.passwordEncoder; JwtService.java</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</si>
  <si>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</si>
  <si>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</si>
  <si>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Applicable to Kryptos due to the need to upgrade algorithms without rewriting the system.</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</si>
  <si>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</si>
  <si>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</si>
  <si>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Cryptographic primitives provide ≥128 bits of security: AES-256 with 128-bit GCM tag, Argon2id with Spring Security defaults, SHA-256.</t>
  </si>
  <si>
    <t>EncryptionService.java (TAG_LENGTH=128); SecurityConfig.passwordEncoder</t>
  </si>
  <si>
    <t>V11.2.4</t>
  </si>
  <si>
    <t>Verify that all cryptographic operations are constant-time, with no 'short-circuit' operations in comparisons, calculations, or returns, to avoid leaking information.</t>
  </si>
  <si>
    <t>Cryptographic operations rely on JCE primitives (Cipher AES/GCM, MessageDigest SHA-256), Argon2PasswordEncoder, and io.jsonwebtoken; all are constant-time at the primitive level. Password verification is delegated to Argon2 .matches(), which performs constant-time comparison. No bespoke byte-by-byte secret comparisons exist in the codebase.</t>
  </si>
  <si>
    <t>EncryptionService; SecurityConfig.passwordEncoder; AuthService.login</t>
  </si>
  <si>
    <t>V11.2.5</t>
  </si>
  <si>
    <t>Verify that all cryptographic modules fail securely, and errors are handled in a way that does not enable vulnerabilities, such as Padding Oracle attacks.</t>
  </si>
  <si>
    <t>Cryptographic failures surface via EncryptionException with a generic message ("Failed to decrypt data"); GCM tag verification fails closed (no plaintext returned). No padding-oracle surface exists because AES/GCM does not use block padding.</t>
  </si>
  <si>
    <t>EncryptionService.decrypt; EncryptionServiceTest.decrypt_shouldThrow…</t>
  </si>
  <si>
    <t>V11.3</t>
  </si>
  <si>
    <t>Encryption Algorithms</t>
  </si>
  <si>
    <t>V11.3.1</t>
  </si>
  <si>
    <t>Verify that insecure block modes (e.g., ECB) and weak padding schemes (e.g., PKCS#1 v1.5) are not used.</t>
  </si>
  <si>
    <t>No insecure block modes or padding schemes are used. Only AES/GCM/NoPadding (authenticated encryption).</t>
  </si>
  <si>
    <t>EncryptionService.java#ALGORITHM</t>
  </si>
  <si>
    <t>V11.3.2</t>
  </si>
  <si>
    <t>Verify that only approved ciphers and modes such as AES with GCM are used.</t>
  </si>
  <si>
    <t>AES-256/GCM/NoPadding is the only symmetric cipher in use (EncryptionService).</t>
  </si>
  <si>
    <t>EncryptionService.java</t>
  </si>
  <si>
    <t>V11.3.3</t>
  </si>
  <si>
    <t>Verify that encrypted data is protected against unauthorized modification preferably by using an approved authenticated encryption method or by combining an approved encryption method with an approved MAC algorithm.</t>
  </si>
  <si>
    <t>Encrypted data is protected by the GCM 128-bit authentication tag. Tampered ciphertext is rejected with EncryptionException at decrypt time.</t>
  </si>
  <si>
    <t>EncryptionService.decrypt; EncryptionServiceTest.decrypt_shouldThrowEncryptionException_whenCiphertextIsTampered</t>
  </si>
  <si>
    <t>V11.3.4</t>
  </si>
  <si>
    <t>Verify that nonces, initialization vectors, and other single-use numbers are not used for more than one encryption key and data-element pair. The method of generation must be appropriate for the algorithm being used.</t>
  </si>
  <si>
    <t>A fresh 12-byte IV is generated from SecureRandom for every encrypt call; two encryptions of the same plaintext produce different ciphertexts (tested).</t>
  </si>
  <si>
    <t>EncryptionService.encrypt; EncryptionServiceTest.encrypt_shouldProduceDifferentCiphertexts_forSamePlaintext</t>
  </si>
  <si>
    <t>V11.3.5</t>
  </si>
  <si>
    <t>Verify that any combination of an encryption algorithm and a MAC algorithm is operating in encrypt-then-MAC mode.</t>
  </si>
  <si>
    <t>AES-GCM is an AEAD mode that internally performs encrypt-then-MAC (ciphertext is computed first, then the GCM authentication tag is computed over IV + AAD + ciphertext). The application never combines encryption + MAC manually.</t>
  </si>
  <si>
    <t>EncryptionService.encrypt (AES/GCM/NoPadding)</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</si>
  <si>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</si>
  <si>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</si>
  <si>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</si>
  <si>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</si>
  <si>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Only SHA-256 is used (audit-log hash chaining and AES key derivation). MD5/SHA-1 are not used anywhere in the codebase.</t>
  </si>
  <si>
    <t>AuditService.computeHash; EncryptionService constructor</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</si>
  <si>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</si>
  <si>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</si>
  <si>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Passwords are stored with Argon2PasswordEncoder.defaultsForSpringSecurity_v5_8() (Argon2id with current Spring Security defaults).</t>
  </si>
  <si>
    <t>SecurityConfig.passwordEncoder</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</si>
  <si>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</si>
  <si>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</si>
  <si>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SHA-256 is used for the audit hash chain (collision-resistant, 256-bit output).</t>
  </si>
  <si>
    <t>AuditService.computeHash</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</si>
  <si>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</si>
  <si>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</si>
  <si>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The single password-derived secret in the system (user login password) is processed by Argon2id via Argon2PasswordEncoder.defaultsForSpringSecurity_v5_8 — an approved KDF with built-in key stretching. There is no other password-to-key derivation path.</t>
  </si>
  <si>
    <t>SecurityConfig.passwordEncoder; AuthService.register/login</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</si>
  <si>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</si>
  <si>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</si>
  <si>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</si>
  <si>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</si>
  <si>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Non-guessable values are generated via java.security.SecureRandom (CSPRNG): GCM IVs (96 bits — required by GCM), secure-wipe random bytes, and UUID.randomUUID() for filenames. JWTs are signed; no random reference token is issued.</t>
  </si>
  <si>
    <t>EncryptionService.SECURE_RANDOM; FileHandlingService.secureDelete</t>
  </si>
  <si>
    <t>V11.5.2</t>
  </si>
  <si>
    <t>Verify that the random number generation mechanism in use is designed to work securely, even under heavy demand.</t>
  </si>
  <si>
    <t>java.security.SecureRandom (used for IVs, secure-wipe random bytes and indirectly via UUID.randomUUID()) is designed to degrade gracefully under heavy demand on the JVM platforms Kryptos targets (Linux /dev/urandom-backed SHA1PRNG / NativePRNG).</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</si>
  <si>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</si>
  <si>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</si>
  <si>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</si>
  <si>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</si>
  <si>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AES keys are derived from ENCRYPTION_SECRET via a single SHA-256 pass (EncryptionService constructor). This is functional but is not an approved KDF; migration to HKDF or PBKDF2 is planned. Algorithms for signing (HS256) and hashing (SHA-256) are approved.</t>
  </si>
  <si>
    <t>EncryptionService constructor</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</si>
  <si>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</si>
  <si>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</si>
  <si>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</si>
  <si>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</si>
  <si>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</si>
  <si>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</si>
  <si>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</si>
  <si>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</si>
  <si>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Sensitive plaintext lives in memory only for the duration of the operation: passwords are Argon2-hashed before persistence; credential plaintexts are AES-GCM-encrypted before being saved; uploaded byte arrays are zero-filled in CredentialImportExportService.importForOwner finally block; export temp files are 3-pass wiped after the response is written.</t>
  </si>
  <si>
    <t>AuthService.register; CredentialService.create; CredentialImportExportService.importForOwner; FileHandlingService.secureDelete</t>
  </si>
  <si>
    <t>V12.1</t>
  </si>
  <si>
    <t>General TLS Security Guidance</t>
  </si>
  <si>
    <t>V12.1.1</t>
  </si>
  <si>
    <t>Verify that only the latest recommended versions of the TLS protocol are enabled, such as TLS 1.2 and TLS 1.3. The latest version of the TLS protocol must be the preferred option.</t>
  </si>
  <si>
    <t>Applicable to Kryptos due to all API traffic requiring encrypted transport.</t>
  </si>
  <si>
    <t>V12.1.2</t>
  </si>
  <si>
    <t>Verify that only recommended cipher suites are enabled, with the strongest cipher suites set as preferred. L3 applications must only support cipher suites which provide forward secrecy.</t>
  </si>
  <si>
    <t>Applicable to Kryptos due to weak cipher suites posing a downgrade risk.</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</si>
  <si>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</si>
  <si>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</si>
  <si>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</si>
  <si>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</si>
  <si>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Applicable to Kryptos due to the need to prevent protocol downgrade attacks through HSTS.</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</si>
  <si>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</si>
  <si>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</si>
  <si>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</si>
  <si>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</si>
  <si>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</si>
  <si>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</si>
  <si>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HSTS is set via SecurityConfig (includeSubDomains, max-age=31536000), forcing TLS on browser callers. Actual TLS termination is a reverse-proxy responsibility in the target deployment; documentation of the reverse-proxy contract is pending.</t>
  </si>
  <si>
    <t>SecurityConfig.httpStrictTransportSecurity</t>
  </si>
  <si>
    <t>V12.2.2</t>
  </si>
  <si>
    <t>Verify that external facing services use publicly trusted TLS certificates.</t>
  </si>
  <si>
    <t>Applicable to Kryptos due to public clients needing to verify server identity through trusted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</si>
  <si>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</si>
  <si>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</si>
  <si>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</si>
  <si>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</si>
  <si>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Applicable to Kryptos due to sensitive data flowing between the API and the database.</t>
  </si>
  <si>
    <t>V12.3.2</t>
  </si>
  <si>
    <t>Verify that TLS clients validate certificates received before communicating with a TLS server.</t>
  </si>
  <si>
    <t>TLS-validating clients are not yet used: the only outbound connection is JDBC → PostgreSQL on the docker-compose private network, currently without sslmode=verify-full. Switching to verified TLS is on the Sprint 3 backlog.</t>
  </si>
  <si>
    <t>application.properties#spring.datasource.url; docker-compose.yml</t>
  </si>
  <si>
    <t>V12.3.3</t>
  </si>
  <si>
    <t>Verify that TLS or another appropriate transport encryption mechanism used for all connectivity between internal, HTTP-based services within the application, and does not fall back to insecure or unencrypted communications.</t>
  </si>
  <si>
    <t>Applicable to Kryptos due to internal service-to-service communication that must also be encrypted.</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</si>
  <si>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</si>
  <si>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</si>
  <si>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Applicable to Kryptos due to the possible use of internal CAs for backend services.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</si>
  <si>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</si>
  <si>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</si>
  <si>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Applicable to Kryptos due to the highly sensitive traffic between the API and the key store.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</si>
  <si>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</si>
  <si>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</si>
  <si>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</si>
  <si>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</si>
  <si>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Highly applicable to Kryptos due to the processing of passwords, credentials, tokens, temporary files, and audit data. Sensitive data should be identified and classified into protection levels according to its confidentiality, integrity, and privacy requirements.</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</si>
  <si>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</si>
  <si>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</si>
  <si>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Highly applicable to Kryptos. Each sensitive data protection level should have documented protection requirements, including encryption, integrity, retention, logging restrictions, access control, and secure storage in the database and temporary file handling.</t>
  </si>
  <si>
    <t>V14.2</t>
  </si>
  <si>
    <t>General Data Protection</t>
  </si>
  <si>
    <t>V14.2.1</t>
  </si>
  <si>
    <t>Verify that sensitive data is only sent to the server in the HTTP message body or header fields, and that the URL and query string do not contain sensitive information, such as an API key or session token.</t>
  </si>
  <si>
    <t>Highly applicable to Kryptos, since credentials and other sensitive authentication-related data must never be included in the URL or query string. A suitable approach is to ensure that such data is sent only in HTTP bodies or secure header fields.</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</si>
  <si>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</si>
  <si>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</si>
  <si>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</si>
  <si>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</si>
  <si>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Highly applicable to Kryptos, since the system handles highly sensitive information such as credentials and authentication-related data. Sensitive data should never be transmitted to untrusted third parties or external services outside the application's control, in order to avoid unauthorized collection, exposure, or misuse.</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</si>
  <si>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</si>
  <si>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</si>
  <si>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Highly applicable to Kryptos due to the need to protect credentials, authentication-related data, temporary files, and audit records according to their sensitivity. This should be addressed by documenting, for each protection level, the expected controls for encryption, integrity verification, retention, logging restrictions, access control over logged sensitive data, and other privacy-related safeguards.</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</si>
  <si>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</si>
  <si>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</si>
  <si>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</si>
  <si>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</si>
  <si>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</si>
  <si>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</si>
  <si>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Highly applicable to Kryptos, especially due to the handling of temporary files generated during import and export operations, as well as other potentially outdated sensitive records. This requirement should be addressed through defined data retention and deletion policies, including automatic removal schedules where appropriate and secure wipe procedures for temporary sensitive data.</t>
  </si>
  <si>
    <t>V14.2.8</t>
  </si>
  <si>
    <t>Verify that sensitive information is removed from the metadata of user-submitted files unless storage is consented to by the user.</t>
  </si>
  <si>
    <t>Highly applicable to Kryptos, especially in import/export workflows. File metadata should be minimized or removed whenever it may expose sensitive information, unless its retention is explicitly required and consented to.</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</si>
  <si>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</si>
  <si>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</si>
  <si>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</si>
  <si>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</si>
  <si>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</si>
  <si>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</si>
  <si>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The export endpoint sets Cache-Control: no-store and X-Content-Type-Options: nosniff on the credential download. JSON endpoints rely on the browser default of not caching authenticated XHR responses.</t>
  </si>
  <si>
    <t>ImportExportController.exportCredentials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</si>
  <si>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</si>
  <si>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</si>
  <si>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</si>
  <si>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</si>
  <si>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</si>
  <si>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</si>
  <si>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Applicable to Kryptos due to the expected use of third-party libraries for backend development, database access, authentication support, file handling, and security-related features. This requirement may be addressed by documenting risk-based remediation time frames for vulnerable components and by defining update priorities according to severity and potential impact on the application.</t>
  </si>
  <si>
    <t>V15.1.2</t>
  </si>
  <si>
    <t>Verify that an inventory catalog, such as software bill of materials (SBOM), is maintained of all third-party libraries in use, including verifying that components come from pre-defined, trusted, and continually maintained repositories.</t>
  </si>
  <si>
    <t>backend/pom.xml is the authoritative dependency manifest; OWASP Dependency-Check runs in CI and produces HTML/JSON/XML reports listing every third-party component with version + CVE metadata. A formal CycloneDX SBOM publication is still pending.</t>
  </si>
  <si>
    <t>.github/workflows/ci.yml#sca; backend/pom.xml</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</si>
  <si>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</si>
  <si>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</si>
  <si>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Time/resource-intensive operations are identified in code (login lockout window, import/export rate limit, AES-GCM encryption per credential, secure 3-pass wipe). A consolidated documentation entry listing these and their availability protections is pending.</t>
  </si>
  <si>
    <t>AuthService.java; ImportExportRateLimiter.java; FileHandlingService.java</t>
  </si>
  <si>
    <t>V15.1.4</t>
  </si>
  <si>
    <t>Verify that application documentation highlights third-party libraries which are considered to be "risky components".</t>
  </si>
  <si>
    <t>Applicable to Kryptos due to its expected reliance on external libraries for security-sensitive or system-level functionality. This may be addressed by identifying third-party components with elevated risk, such as libraries related to authentication, cryptography, file handling, or operating system interaction, and documenting their risk relevance for future review and monitoring.</t>
  </si>
  <si>
    <t>V15.1.5</t>
  </si>
  <si>
    <t>Verify that application documentation highlights parts of the application where "dangerous functionality" is being used.</t>
  </si>
  <si>
    <t>Highly applicable to Kryptos because the application includes sensitive and potentially dangerous functionality, particularly in operating system interaction, temporary file handling, import/export workflows, and secure wipe procedures. This requirement may be addressed by explicitly documenting these high-risk areas and the safeguards expected around their use.</t>
  </si>
  <si>
    <t>V15.2</t>
  </si>
  <si>
    <t>Security Architecture and Dependencies</t>
  </si>
  <si>
    <t>V15.2.1</t>
  </si>
  <si>
    <t>Verify that the application only contains components which have not breached the documented update and remediation time frames.</t>
  </si>
  <si>
    <t>OWASP Dependency-Check is integrated in the SAST job (failBuildOnCVSS=9). It currently runs with continue-on-error=true while the backlog is triaged; tightening to fail on CVSS≥7 is on the Sprint 3 list.</t>
  </si>
  <si>
    <t>.github/workflows/ci.yml#sca; backend/pom.xml#dependency-check-maven</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</si>
  <si>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</si>
  <si>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</si>
  <si>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</si>
  <si>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</si>
  <si>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Production build = mvn package output of src/main only. Test code (src/test) is not packaged into the JAR; no sample data is loaded; no debug or developer endpoints are exposed (no actuator dependency).</t>
  </si>
  <si>
    <t>backend/Dockerfile; backend/pom.xml</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</si>
  <si>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</si>
  <si>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</si>
  <si>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</si>
  <si>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</si>
  <si>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</si>
  <si>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</si>
  <si>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</si>
  <si>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</si>
  <si>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Response DTOs select only the fields appropriate for the caller (e.g., CredentialResponse omits encryptedPassword; UserResponse omits password hash). The exception handler returns a generic 500 message with no entity payload.</t>
  </si>
  <si>
    <t>CredentialResponse.java; UserResponse.java; GlobalExceptionHandler.handleGeneric</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</si>
  <si>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</si>
  <si>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</si>
  <si>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</si>
  <si>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</si>
  <si>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Mass-assignment is structurally impossible: every controller receives a Java record DTO listing exactly the fields the user may set. RegisterRequest exposes (username, email, password) — no role; UpdateRoleRequest exposes only role and is gated by @PreAuthorize hasRole(ADMIN).</t>
  </si>
  <si>
    <t>RegisterRequest.java; UpdateRoleRequest.java; UserController#updateUserRole</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</si>
  <si>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</si>
  <si>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</si>
  <si>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</si>
  <si>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</si>
  <si>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Java enforces static typing at compile time. Equality comparisons use .equals() for objects (username/email comparisons) and primitive == for primitives. No type juggling is possible.</t>
  </si>
  <si>
    <t>AuthService.login; UserService.findById; all DTO records</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</si>
  <si>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</si>
  <si>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</si>
  <si>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</si>
  <si>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</si>
  <si>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</si>
  <si>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</si>
  <si>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</si>
  <si>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</si>
  <si>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</si>
  <si>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</si>
  <si>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All check-then-act sequences run inside an @Transactional service method, giving a consistent read-modify-write window (existsByIdAndOwnerId → save inside the same transaction). The file-system check-then-act in FileHandlingService is bounded by a normalised path + CREATE_NEW flag, which fails closed on race.</t>
  </si>
  <si>
    <t>CredentialService.create; VaultService.delete; FileHandlingService.exportCredentials (CREATE_NEW)</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</si>
  <si>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</si>
  <si>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</si>
  <si>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</si>
  <si>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</si>
  <si>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</si>
  <si>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</si>
  <si>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</si>
  <si>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</si>
  <si>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The full set of security events is enumerated in AuditAction (LOGIN, LOGIN_FAILED, REGISTER, CREDENTIAL_*, VAULT_*, USER_*, DEVICE_*, EXPORT, IMPORT, SECURE_WIPE*). Logs are written to the audit_logs table via AuditService. A formal logging-inventory document covering Spring access logs, application logs and audit logs is still pending.</t>
  </si>
  <si>
    <t>AuditAction.java; AuditService.java; application.properties#logging</t>
  </si>
  <si>
    <t>V16.2</t>
  </si>
  <si>
    <t>General Logging</t>
  </si>
  <si>
    <t>V16.2.1</t>
  </si>
  <si>
    <t>Verify that each log entry includes necessary metadata (such as when, where, who, what) that would allow for a detailed investigation of the timeline when an event happens.</t>
  </si>
  <si>
    <t>Highly applicable to Kryptos. Log entries should include enough metadata to support investigation, namely when, who, what, and where the event occurred.</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</si>
  <si>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</si>
  <si>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</si>
  <si>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Highly applicable to Kryptos. Logging timestamps should be consistent across components and should use UTC or an explicit time zone offset to support reliable audit and investigation.</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</si>
  <si>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</si>
  <si>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</si>
  <si>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</si>
  <si>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</si>
  <si>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</si>
  <si>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</si>
  <si>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</si>
  <si>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</si>
  <si>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</si>
  <si>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</si>
  <si>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Highly applicable to Kryptos. Both successful and unsuccessful authentication attempts should be logged together with relevant metadata for audit and investigation.</t>
  </si>
  <si>
    <t>V16.3.2</t>
  </si>
  <si>
    <t>Verify that failed authorization attempts are logged. For L3, this must include logging all authorization decisions, including logging when sensitive data is accessed (without logging the sensitive data itself).</t>
  </si>
  <si>
    <t>Highly applicable to Kryptos. Failed authorization attempts and relevant access decisions over sensitive resources should be logged without exposing sensitive data in the logs.</t>
  </si>
  <si>
    <t>V16.3.3</t>
  </si>
  <si>
    <t>Verify that the application logs the security events that are defined in the documentation and also logs attempts to bypass the security controls, such as input validation, business logic, and anti-automation.</t>
  </si>
  <si>
    <t>Highly applicable to Kryptos. Security events and attempts to bypass security controls should be defined and included in the application logging strategy.</t>
  </si>
  <si>
    <t>V16.3.4</t>
  </si>
  <si>
    <t>Verify that the application logs unexpected errors and security control failures such as backend TLS failures.</t>
  </si>
  <si>
    <t>Highly applicable to Kryptos. Unexpected errors and security control failures should be logged to support monitoring, investigation, and incident response.</t>
  </si>
  <si>
    <t>V16.4</t>
  </si>
  <si>
    <t>Log Protection</t>
  </si>
  <si>
    <t>V16.4.1</t>
  </si>
  <si>
    <t>Verify that all logging components appropriately encode data to prevent log injection.</t>
  </si>
  <si>
    <t>V16.4.2</t>
  </si>
  <si>
    <t>Verify that logs are protected from unauthorized access and cannot be modified.</t>
  </si>
  <si>
    <t>Audit logs are read-only over the API (AuditController has only GET endpoints, gated by hasAnyRole(ADMIN, AUDITOR)). AuditLog @PreUpdate / @PreRemove throw UnsupportedOperationException, blocking modification at the JPA layer. SHA-256 hash chain detects tampering.</t>
  </si>
  <si>
    <t>AuditController.java; AuditLog.java; AuditLogTest; AuditServiceTest.log_shouldBuildHashChain</t>
  </si>
  <si>
    <t>V16.4.3</t>
  </si>
  <si>
    <t>Verify that logs are securely transmitted to a logically separate system for analysis, detection, alerting, and escalation. The aim is to ensure that if the application is breached, the logs are not compromised.</t>
  </si>
  <si>
    <t>Highly applicable to Kryptos. Security-relevant logs should ideally be transmitted or preserved in a logically separate system or storage location to reduce the risk of compromise.</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</si>
  <si>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</si>
  <si>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</si>
  <si>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</si>
  <si>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</si>
  <si>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GlobalExceptionHandler.handleGeneric returns {"error":"Internal server error"} with HTTP 500 for any uncategorized Exception, never propagating stack traces, SQL fragments or internal paths. EncryptionException and ResourceNotFoundException return generic messages.</t>
  </si>
  <si>
    <t>backend/src/main/java/com/kryptos/shared/exception/GlobalExceptionHandler.java</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</si>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</sst>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
      <sz val="11"/>
      <color rgb="FF000000"/>
      <name val="Calibri"/>
      <family val="2"/>
    </font>
    <font>
      <sz val="10"/>
      <color theme="1"/>
      <name val="Cambria"/>
      <family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0" fillId="0" borderId="0" xfId="0" applyAlignment="1">
      <alignment horizontal="center" wrapText="1"/>
    </xf>
    <xf numFmtId="0" fontId="0" fillId="0" borderId="0" xfId="0" applyAlignment="1">
      <alignment wrapText="1"/>
    </xf>
    <xf numFmtId="0" fontId="0" fillId="4" borderId="1" xfId="0" applyFill="1" applyBorder="1" applyAlignment="1">
      <alignment horizontal="left" vertical="center" wrapText="1"/>
    </xf>
    <xf numFmtId="0" fontId="0" fillId="3" borderId="1" xfId="0" applyFill="1" applyBorder="1" applyAlignment="1">
      <alignment horizontal="center" vertical="top" wrapText="1"/>
    </xf>
    <xf numFmtId="0" fontId="0" fillId="0" borderId="0" xfId="0" applyAlignment="1">
      <alignment horizontal="left" vertical="top" wrapText="1"/>
    </xf>
    <xf numFmtId="0" fontId="9" fillId="5"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center" vertical="top" wrapText="1"/>
    </xf>
    <xf numFmtId="0" fontId="0" fillId="0" borderId="0" xfId="0" applyAlignment="1">
      <alignment vertical="top" wrapText="1"/>
    </xf>
    <xf numFmtId="0" fontId="10" fillId="0" borderId="0" xfId="0" applyFont="1" applyAlignment="1">
      <alignment vertical="top" wrapText="1"/>
    </xf>
    <xf numFmtId="9" fontId="11" fillId="3" borderId="1" xfId="0" applyNumberFormat="1" applyFont="1" applyFill="1" applyBorder="1" applyAlignment="1">
      <alignment horizontal="center" vertical="center"/>
    </xf>
    <xf numFmtId="0" fontId="6" fillId="4" borderId="3" xfId="0" applyFont="1" applyFill="1" applyBorder="1" applyAlignment="1">
      <alignment horizontal="center" vertical="center"/>
    </xf>
    <xf numFmtId="0" fontId="6" fillId="3" borderId="3"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xf numFmtId="0" fontId="0" fillId="0" borderId="2" xfId="0" applyBorder="1" applyAlignment="1">
      <alignment horizontal="center" vertical="center" wrapText="1"/>
    </xf>
    <xf numFmtId="0" fontId="0" fillId="0" borderId="2" xfId="0" applyBorder="1"/>
    <xf numFmtId="0" fontId="0" fillId="0" borderId="2" xfId="0" applyBorder="1" applyAlignment="1">
      <alignment horizontal="center" vertical="center"/>
    </xf>
    <xf numFmtId="0" fontId="0" fillId="0" borderId="2" xfId="0" applyBorder="1" applyAlignment="1">
      <alignment horizontal="center"/>
    </xf>
    <xf numFmtId="0" fontId="0" fillId="0" borderId="2" xfId="0" applyBorder="1" applyAlignment="1">
      <alignment horizontal="center" vertical="top" wrapText="1"/>
    </xf>
    <xf numFmtId="0" fontId="0" fillId="0" borderId="2" xfId="0" applyBorder="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0.5</c:v>
                </c:pt>
                <c:pt idx="1">
                  <c:v>1</c:v>
                </c:pt>
                <c:pt idx="2">
                  <c:v>0</c:v>
                </c:pt>
                <c:pt idx="3">
                  <c:v>0.5</c:v>
                </c:pt>
                <c:pt idx="4">
                  <c:v>1</c:v>
                </c:pt>
                <c:pt idx="5">
                  <c:v>0.92307692307692313</c:v>
                </c:pt>
                <c:pt idx="6">
                  <c:v>1</c:v>
                </c:pt>
                <c:pt idx="7">
                  <c:v>0.75</c:v>
                </c:pt>
                <c:pt idx="8">
                  <c:v>1</c:v>
                </c:pt>
                <c:pt idx="9">
                  <c:v>0.4</c:v>
                </c:pt>
                <c:pt idx="10">
                  <c:v>1</c:v>
                </c:pt>
                <c:pt idx="11">
                  <c:v>1</c:v>
                </c:pt>
                <c:pt idx="12">
                  <c:v>1</c:v>
                </c:pt>
                <c:pt idx="13">
                  <c:v>0.5</c:v>
                </c:pt>
                <c:pt idx="14">
                  <c:v>1</c:v>
                </c:pt>
                <c:pt idx="15">
                  <c:v>0</c:v>
                </c:pt>
                <c:pt idx="16">
                  <c:v>0</c:v>
                </c:pt>
              </c:numCache>
            </c:numRef>
          </c:val>
          <c:extLst>
            <c:ext xmlns:c16="http://schemas.microsoft.com/office/drawing/2014/chart" uri="{C3380CC4-5D6E-409C-BE32-E72D297353CC}">
              <c16:uniqueId val="{00000000-47E7-4B1E-B683-1C2677DCF3D6}"/>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0.57894736842105265</c:v>
                </c:pt>
                <c:pt idx="1">
                  <c:v>0.8571428571428571</c:v>
                </c:pt>
                <c:pt idx="2">
                  <c:v>0</c:v>
                </c:pt>
                <c:pt idx="3">
                  <c:v>0.25</c:v>
                </c:pt>
                <c:pt idx="4">
                  <c:v>1</c:v>
                </c:pt>
                <c:pt idx="5">
                  <c:v>0.5</c:v>
                </c:pt>
                <c:pt idx="6">
                  <c:v>0.5</c:v>
                </c:pt>
                <c:pt idx="7">
                  <c:v>0.66666666666666663</c:v>
                </c:pt>
                <c:pt idx="8">
                  <c:v>0.66666666666666663</c:v>
                </c:pt>
                <c:pt idx="9">
                  <c:v>0.125</c:v>
                </c:pt>
                <c:pt idx="10">
                  <c:v>1</c:v>
                </c:pt>
                <c:pt idx="11">
                  <c:v>0.83333333333333337</c:v>
                </c:pt>
                <c:pt idx="12">
                  <c:v>1</c:v>
                </c:pt>
                <c:pt idx="13">
                  <c:v>0.7142857142857143</c:v>
                </c:pt>
                <c:pt idx="14">
                  <c:v>0.5</c:v>
                </c:pt>
                <c:pt idx="15">
                  <c:v>0.625</c:v>
                </c:pt>
                <c:pt idx="16">
                  <c:v>0</c:v>
                </c:pt>
              </c:numCache>
            </c:numRef>
          </c:val>
          <c:extLst>
            <c:ext xmlns:c16="http://schemas.microsoft.com/office/drawing/2014/chart" uri="{C3380CC4-5D6E-409C-BE32-E72D297353CC}">
              <c16:uniqueId val="{00000001-47E7-4B1E-B683-1C2677DCF3D6}"/>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0.66666666666666663</c:v>
                </c:pt>
                <c:pt idx="1">
                  <c:v>0.5</c:v>
                </c:pt>
                <c:pt idx="2">
                  <c:v>0</c:v>
                </c:pt>
                <c:pt idx="3">
                  <c:v>1</c:v>
                </c:pt>
                <c:pt idx="4">
                  <c:v>0.75</c:v>
                </c:pt>
                <c:pt idx="5">
                  <c:v>0.58333333333333337</c:v>
                </c:pt>
                <c:pt idx="6">
                  <c:v>0</c:v>
                </c:pt>
                <c:pt idx="7">
                  <c:v>0.5</c:v>
                </c:pt>
                <c:pt idx="8">
                  <c:v>0</c:v>
                </c:pt>
                <c:pt idx="9">
                  <c:v>0</c:v>
                </c:pt>
                <c:pt idx="10">
                  <c:v>0.8</c:v>
                </c:pt>
                <c:pt idx="11">
                  <c:v>0.66666666666666663</c:v>
                </c:pt>
                <c:pt idx="12">
                  <c:v>1</c:v>
                </c:pt>
                <c:pt idx="13">
                  <c:v>0.5</c:v>
                </c:pt>
                <c:pt idx="14">
                  <c:v>0.375</c:v>
                </c:pt>
                <c:pt idx="15">
                  <c:v>0</c:v>
                </c:pt>
              </c:numCache>
            </c:numRef>
          </c:val>
          <c:extLst>
            <c:ext xmlns:c16="http://schemas.microsoft.com/office/drawing/2014/chart" uri="{C3380CC4-5D6E-409C-BE32-E72D297353CC}">
              <c16:uniqueId val="{00000002-47E7-4B1E-B683-1C2677DCF3D6}"/>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0.56666666666666665</c:v>
                </c:pt>
                <c:pt idx="1">
                  <c:v>0.84615384615384615</c:v>
                </c:pt>
                <c:pt idx="2">
                  <c:v>0</c:v>
                </c:pt>
                <c:pt idx="3">
                  <c:v>0.5625</c:v>
                </c:pt>
                <c:pt idx="4">
                  <c:v>0.92307692307692313</c:v>
                </c:pt>
                <c:pt idx="5">
                  <c:v>0.63829787234042556</c:v>
                </c:pt>
                <c:pt idx="6">
                  <c:v>0.63157894736842102</c:v>
                </c:pt>
                <c:pt idx="7">
                  <c:v>0.61538461538461542</c:v>
                </c:pt>
                <c:pt idx="8">
                  <c:v>0.8571428571428571</c:v>
                </c:pt>
                <c:pt idx="9">
                  <c:v>0.1388888888888889</c:v>
                </c:pt>
                <c:pt idx="10">
                  <c:v>0.91666666666666663</c:v>
                </c:pt>
                <c:pt idx="11">
                  <c:v>0.83333333333333337</c:v>
                </c:pt>
                <c:pt idx="12">
                  <c:v>1</c:v>
                </c:pt>
                <c:pt idx="13">
                  <c:v>0.61538461538461542</c:v>
                </c:pt>
                <c:pt idx="14">
                  <c:v>0.52380952380952384</c:v>
                </c:pt>
                <c:pt idx="15">
                  <c:v>0.58823529411764708</c:v>
                </c:pt>
                <c:pt idx="16">
                  <c:v>0</c:v>
                </c:pt>
              </c:numCache>
            </c:numRef>
          </c:val>
          <c:extLst>
            <c:ext xmlns:c16="http://schemas.microsoft.com/office/drawing/2014/chart" uri="{C3380CC4-5D6E-409C-BE32-E72D297353CC}">
              <c16:uniqueId val="{00000003-47E7-4B1E-B683-1C2677DCF3D6}"/>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270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abSelected="1" zoomScale="85" zoomScaleNormal="85" workbookViewId="0">
      <selection activeCell="M22" sqref="M22"/>
    </sheetView>
  </sheetViews>
  <sheetFormatPr baseColWidth="10" defaultColWidth="8.5" defaultRowHeight="15" x14ac:dyDescent="0.2"/>
  <cols>
    <col min="1" max="1" width="34" customWidth="1"/>
    <col min="2" max="13" width="11" customWidth="1"/>
  </cols>
  <sheetData>
    <row r="1" spans="1:16" ht="36" customHeight="1" x14ac:dyDescent="0.2">
      <c r="A1" s="36" t="s">
        <v>94</v>
      </c>
      <c r="B1" s="37"/>
      <c r="C1" s="37"/>
      <c r="D1" s="37"/>
      <c r="E1" s="37"/>
      <c r="F1" s="37"/>
      <c r="G1" s="37"/>
      <c r="H1" s="37"/>
      <c r="I1" s="37"/>
      <c r="J1" s="37"/>
      <c r="K1" s="37"/>
      <c r="L1" s="37"/>
      <c r="M1" s="37"/>
      <c r="N1" s="37"/>
      <c r="O1" s="37"/>
      <c r="P1" s="37"/>
    </row>
    <row r="2" spans="1:16" ht="20" customHeight="1" x14ac:dyDescent="0.2">
      <c r="A2" s="39"/>
      <c r="B2" s="37"/>
      <c r="C2" s="37"/>
      <c r="D2" s="37"/>
      <c r="E2" s="37"/>
      <c r="F2" s="37"/>
      <c r="G2" s="37"/>
      <c r="H2" s="37"/>
      <c r="I2" s="37"/>
      <c r="J2" s="37"/>
      <c r="K2" s="37"/>
      <c r="L2" s="37"/>
      <c r="M2" s="37"/>
      <c r="N2" s="37"/>
      <c r="O2" s="37"/>
      <c r="P2" s="37"/>
    </row>
    <row r="3" spans="1:16" ht="18" customHeight="1" x14ac:dyDescent="0.2">
      <c r="A3" s="38"/>
      <c r="B3" s="37"/>
      <c r="C3" s="1"/>
      <c r="E3" s="1"/>
      <c r="G3" s="1"/>
      <c r="I3" s="1"/>
      <c r="K3" s="1"/>
      <c r="M3" s="1"/>
      <c r="O3" s="1"/>
    </row>
    <row r="5" spans="1:16" ht="32" customHeight="1" x14ac:dyDescent="0.2">
      <c r="A5" s="2" t="s">
        <v>95</v>
      </c>
      <c r="B5" s="2" t="s">
        <v>96</v>
      </c>
      <c r="C5" s="2" t="s">
        <v>97</v>
      </c>
      <c r="D5" s="2" t="s">
        <v>98</v>
      </c>
      <c r="E5" s="2" t="s">
        <v>99</v>
      </c>
      <c r="F5" s="2" t="s">
        <v>100</v>
      </c>
      <c r="G5" s="2" t="s">
        <v>101</v>
      </c>
      <c r="H5" s="2" t="s">
        <v>102</v>
      </c>
      <c r="I5" s="2" t="s">
        <v>103</v>
      </c>
      <c r="J5" s="2" t="s">
        <v>104</v>
      </c>
      <c r="K5" s="2" t="s">
        <v>105</v>
      </c>
      <c r="L5" s="2" t="s">
        <v>106</v>
      </c>
      <c r="M5" s="2" t="s">
        <v>107</v>
      </c>
    </row>
    <row r="6" spans="1:16" ht="18" customHeight="1" x14ac:dyDescent="0.2">
      <c r="A6" s="3" t="s">
        <v>108</v>
      </c>
      <c r="B6" s="4">
        <v>30</v>
      </c>
      <c r="C6" s="4">
        <v>8</v>
      </c>
      <c r="D6" s="4">
        <f>COUNTIFS('V1 - Encoding and Sanitization'!$F$2:$F$36,"Compliant",'V1 - Encoding and Sanitization'!$E$2:$E$36,1)</f>
        <v>4</v>
      </c>
      <c r="E6" s="5">
        <f>IF(C6=0,"",D6/C6)</f>
        <v>0.5</v>
      </c>
      <c r="F6" s="4">
        <v>19</v>
      </c>
      <c r="G6" s="4">
        <f>COUNTIFS('V1 - Encoding and Sanitization'!$F$2:$F$36,"Compliant",'V1 - Encoding and Sanitization'!$E$2:$E$36,2)</f>
        <v>11</v>
      </c>
      <c r="H6" s="5">
        <f>IF(F6=0,"",G6/F6)</f>
        <v>0.57894736842105265</v>
      </c>
      <c r="I6" s="4">
        <v>3</v>
      </c>
      <c r="J6" s="4">
        <f>COUNTIFS('V1 - Encoding and Sanitization'!$F$2:$F$36,"Compliant",'V1 - Encoding and Sanitization'!$E$2:$E$36,3)</f>
        <v>2</v>
      </c>
      <c r="K6" s="5">
        <f>IF(I6=0,"",J6/I6)</f>
        <v>0.66666666666666663</v>
      </c>
      <c r="L6" s="4">
        <f>COUNTIF('V1 - Encoding and Sanitization'!$F$2:$F$36,"Compliant")</f>
        <v>17</v>
      </c>
      <c r="M6" s="5">
        <f>IF(B6=0,"",L6/B6)</f>
        <v>0.56666666666666665</v>
      </c>
    </row>
    <row r="7" spans="1:16" ht="18" customHeight="1" x14ac:dyDescent="0.2">
      <c r="A7" s="6" t="s">
        <v>109</v>
      </c>
      <c r="B7" s="7">
        <v>13</v>
      </c>
      <c r="C7" s="7">
        <v>4</v>
      </c>
      <c r="D7" s="4">
        <f>COUNTIFS('V2 - Validation and Business Lo'!$F$2:$F$18,"Compliant",'V2 - Validation and Business Lo'!$E$2:$E$18,1)</f>
        <v>4</v>
      </c>
      <c r="E7" s="5">
        <f t="shared" ref="E7:E22" si="0">IF(C7=0,"",D7/C7)</f>
        <v>1</v>
      </c>
      <c r="F7" s="7">
        <v>7</v>
      </c>
      <c r="G7" s="4">
        <f>COUNTIFS('V2 - Validation and Business Lo'!$F$2:$F$18,"Compliant",'V2 - Validation and Business Lo'!$E$2:$E$18,2)</f>
        <v>6</v>
      </c>
      <c r="H7" s="5">
        <f t="shared" ref="H7:H22" si="1">IF(F7=0,"",G7/F7)</f>
        <v>0.8571428571428571</v>
      </c>
      <c r="I7" s="7">
        <v>2</v>
      </c>
      <c r="J7" s="4">
        <f>COUNTIFS('V2 - Validation and Business Lo'!$F$2:$F$18,"Compliant",'V2 - Validation and Business Lo'!$E$2:$E$18,3)</f>
        <v>1</v>
      </c>
      <c r="K7" s="5">
        <f t="shared" ref="K7:K22" si="2">IF(I7=0,"",J7/I7)</f>
        <v>0.5</v>
      </c>
      <c r="L7" s="7">
        <f>COUNTIF('V2 - Validation and Business Lo'!$F$2:$F$18,"Compliant")</f>
        <v>11</v>
      </c>
      <c r="M7" s="5">
        <f t="shared" ref="M7:M22" si="3">IF(B7=0,"",L7/B7)</f>
        <v>0.84615384615384615</v>
      </c>
    </row>
    <row r="8" spans="1:16" ht="18" customHeight="1" x14ac:dyDescent="0.2">
      <c r="A8" s="3" t="s">
        <v>110</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2">
      <c r="A9" s="6" t="s">
        <v>111</v>
      </c>
      <c r="B9" s="7">
        <v>16</v>
      </c>
      <c r="C9" s="7">
        <v>2</v>
      </c>
      <c r="D9" s="4">
        <f>COUNTIFS('V4 - API and Web Service'!$F$2:$F$21,"Compliant",'V4 - API and Web Service'!$E$2:$E$21,1)</f>
        <v>1</v>
      </c>
      <c r="E9" s="5">
        <f t="shared" si="0"/>
        <v>0.5</v>
      </c>
      <c r="F9" s="7">
        <v>8</v>
      </c>
      <c r="G9" s="4">
        <f>COUNTIFS('V4 - API and Web Service'!$F$2:$F$21,"Compliant",'V4 - API and Web Service'!$E$2:$E$21,2)</f>
        <v>2</v>
      </c>
      <c r="H9" s="5">
        <f t="shared" si="1"/>
        <v>0.25</v>
      </c>
      <c r="I9" s="7">
        <v>6</v>
      </c>
      <c r="J9" s="4">
        <f>COUNTIFS('V4 - API and Web Service'!$F$2:$F$21,"Compliant",'V4 - API and Web Service'!$E$2:$E$21,3)</f>
        <v>6</v>
      </c>
      <c r="K9" s="5">
        <f t="shared" si="2"/>
        <v>1</v>
      </c>
      <c r="L9" s="34">
        <f>COUNTIF('V4 - API and Web Service'!$F$2:$F$21,"Compliant")</f>
        <v>9</v>
      </c>
      <c r="M9" s="5">
        <f t="shared" si="3"/>
        <v>0.5625</v>
      </c>
    </row>
    <row r="10" spans="1:16" ht="18" customHeight="1" x14ac:dyDescent="0.2">
      <c r="A10" s="3" t="s">
        <v>112</v>
      </c>
      <c r="B10" s="4">
        <v>13</v>
      </c>
      <c r="C10" s="4">
        <v>4</v>
      </c>
      <c r="D10" s="4">
        <f>COUNTIFS('V5 - File Handling'!$F$2:$F$18,"Compliant",'V5 - File Handling'!$E$2:$E$18,1)</f>
        <v>4</v>
      </c>
      <c r="E10" s="5">
        <f t="shared" si="0"/>
        <v>1</v>
      </c>
      <c r="F10" s="4">
        <v>5</v>
      </c>
      <c r="G10" s="4">
        <f>COUNTIFS('V5 - File Handling'!$F$2:$F$18,"Compliant",'V5 - File Handling'!$E$2:$E$18,2)</f>
        <v>5</v>
      </c>
      <c r="H10" s="5">
        <f t="shared" si="1"/>
        <v>1</v>
      </c>
      <c r="I10" s="4">
        <v>4</v>
      </c>
      <c r="J10" s="4">
        <f>COUNTIFS('V5 - File Handling'!$F$2:$F$18,"Compliant",'V5 - File Handling'!$E$2:$E$18,3)</f>
        <v>3</v>
      </c>
      <c r="K10" s="5">
        <f t="shared" si="2"/>
        <v>0.75</v>
      </c>
      <c r="L10" s="35">
        <f>COUNTIF('V5 - File Handling'!$F$2:$F$18,"Compliant")</f>
        <v>12</v>
      </c>
      <c r="M10" s="5">
        <f t="shared" si="3"/>
        <v>0.92307692307692313</v>
      </c>
    </row>
    <row r="11" spans="1:16" ht="18" customHeight="1" x14ac:dyDescent="0.2">
      <c r="A11" s="6" t="s">
        <v>113</v>
      </c>
      <c r="B11" s="7">
        <v>47</v>
      </c>
      <c r="C11" s="7">
        <v>13</v>
      </c>
      <c r="D11" s="4">
        <f>COUNTIFS('V6 - Authentication'!$F$2:$F$56,"Compliant",'V6 - Authentication'!$E$2:$E$56,1)</f>
        <v>12</v>
      </c>
      <c r="E11" s="5">
        <f t="shared" si="0"/>
        <v>0.92307692307692313</v>
      </c>
      <c r="F11" s="7">
        <v>22</v>
      </c>
      <c r="G11" s="4">
        <f>COUNTIFS('V6 - Authentication'!$F$2:$F$56,"Compliant",'V6 - Authentication'!$E$2:$E$56,2)</f>
        <v>11</v>
      </c>
      <c r="H11" s="5">
        <f t="shared" si="1"/>
        <v>0.5</v>
      </c>
      <c r="I11" s="7">
        <v>12</v>
      </c>
      <c r="J11" s="4">
        <f>COUNTIFS('V6 - Authentication'!$F$2:$F$56,"Compliant",'V6 - Authentication'!$E$2:$E$56,3)</f>
        <v>7</v>
      </c>
      <c r="K11" s="5">
        <f t="shared" si="2"/>
        <v>0.58333333333333337</v>
      </c>
      <c r="L11" s="34">
        <f>COUNTIF('V6 - Authentication'!$F$2:$F$56,"Compliant")</f>
        <v>30</v>
      </c>
      <c r="M11" s="5">
        <f t="shared" si="3"/>
        <v>0.63829787234042556</v>
      </c>
    </row>
    <row r="12" spans="1:16" ht="18" customHeight="1" x14ac:dyDescent="0.2">
      <c r="A12" s="3" t="s">
        <v>114</v>
      </c>
      <c r="B12" s="4">
        <v>19</v>
      </c>
      <c r="C12" s="4">
        <v>6</v>
      </c>
      <c r="D12" s="4">
        <f>COUNTIFS('V7 - Session Management'!$F$2:$F$26,"Compliant",'V7 - Session Management'!$E$2:$E$26,1)</f>
        <v>6</v>
      </c>
      <c r="E12" s="5">
        <f t="shared" si="0"/>
        <v>1</v>
      </c>
      <c r="F12" s="4">
        <v>12</v>
      </c>
      <c r="G12" s="4">
        <f>COUNTIFS('V7 - Session Management'!$F$2:$F$26,"Compliant",'V7 - Session Management'!$E$2:$E$26,2)</f>
        <v>6</v>
      </c>
      <c r="H12" s="5">
        <f t="shared" si="1"/>
        <v>0.5</v>
      </c>
      <c r="I12" s="4">
        <v>1</v>
      </c>
      <c r="J12" s="4">
        <f>COUNTIFS('V7 - Session Management'!$F$2:$F$26,"Compliant",'V7 - Session Management'!$E$2:$E$26,3)</f>
        <v>0</v>
      </c>
      <c r="K12" s="5">
        <f t="shared" si="2"/>
        <v>0</v>
      </c>
      <c r="L12" s="35">
        <f>COUNTIF('V7 - Session Management'!$F$2:$F$26,"Compliant")</f>
        <v>12</v>
      </c>
      <c r="M12" s="5">
        <f t="shared" si="3"/>
        <v>0.63157894736842102</v>
      </c>
    </row>
    <row r="13" spans="1:16" ht="18" customHeight="1" x14ac:dyDescent="0.2">
      <c r="A13" s="6" t="s">
        <v>115</v>
      </c>
      <c r="B13" s="7">
        <v>13</v>
      </c>
      <c r="C13" s="7">
        <v>4</v>
      </c>
      <c r="D13" s="4">
        <f>COUNTIFS('V8 - Authorization'!$F$2:$F$18,"Compliant",'V8 - Authorization'!$E$2:$E$18,1)</f>
        <v>3</v>
      </c>
      <c r="E13" s="5">
        <f t="shared" si="0"/>
        <v>0.75</v>
      </c>
      <c r="F13" s="7">
        <v>3</v>
      </c>
      <c r="G13" s="4">
        <f>COUNTIFS('V8 - Authorization'!$F$2:$F$18,"Compliant",'V8 - Authorization'!$E$2:$E$18,2)</f>
        <v>2</v>
      </c>
      <c r="H13" s="5">
        <f t="shared" si="1"/>
        <v>0.66666666666666663</v>
      </c>
      <c r="I13" s="7">
        <v>6</v>
      </c>
      <c r="J13" s="4">
        <f>COUNTIFS('V8 - Authorization'!$F$2:$F$18,"Compliant",'V8 - Authorization'!$E$2:$E$18,3)</f>
        <v>3</v>
      </c>
      <c r="K13" s="5">
        <f t="shared" si="2"/>
        <v>0.5</v>
      </c>
      <c r="L13" s="34">
        <f>COUNTIF('V8 - Authorization'!$F$2:$F$18,"Compliant")</f>
        <v>8</v>
      </c>
      <c r="M13" s="5">
        <f t="shared" si="3"/>
        <v>0.61538461538461542</v>
      </c>
    </row>
    <row r="14" spans="1:16" ht="18" customHeight="1" x14ac:dyDescent="0.2">
      <c r="A14" s="3" t="s">
        <v>116</v>
      </c>
      <c r="B14" s="4">
        <v>7</v>
      </c>
      <c r="C14" s="4">
        <v>4</v>
      </c>
      <c r="D14" s="4">
        <f>COUNTIFS('V9 - Self-contained Tokens'!$F$2:$F$10,"Compliant",'V9 - Self-contained Tokens'!$E$2:$E$10,1)</f>
        <v>4</v>
      </c>
      <c r="E14" s="5">
        <f t="shared" si="0"/>
        <v>1</v>
      </c>
      <c r="F14" s="4">
        <v>3</v>
      </c>
      <c r="G14" s="4">
        <f>COUNTIFS('V9 - Self-contained Tokens'!$F$2:$F$10,"Compliant",'V9 - Self-contained Tokens'!$E$2:$E$10,2)</f>
        <v>2</v>
      </c>
      <c r="H14" s="5">
        <f t="shared" si="1"/>
        <v>0.66666666666666663</v>
      </c>
      <c r="I14" s="4">
        <v>0</v>
      </c>
      <c r="J14" s="4">
        <f>COUNTIFS('V9 - Self-contained Tokens'!$F$2:$F$10,"Compliant",'V9 - Self-contained Tokens'!$E$2:$E$10,3)</f>
        <v>0</v>
      </c>
      <c r="K14" s="5" t="str">
        <f t="shared" si="2"/>
        <v/>
      </c>
      <c r="L14" s="35">
        <f>COUNTIF('V9 - Self-contained Tokens'!$F$2:$F$10,"Compliant")</f>
        <v>6</v>
      </c>
      <c r="M14" s="5">
        <f t="shared" si="3"/>
        <v>0.8571428571428571</v>
      </c>
    </row>
    <row r="15" spans="1:16" ht="18" customHeight="1" x14ac:dyDescent="0.2">
      <c r="A15" s="6" t="s">
        <v>117</v>
      </c>
      <c r="B15" s="7">
        <v>36</v>
      </c>
      <c r="C15" s="7">
        <v>5</v>
      </c>
      <c r="D15" s="4">
        <f>COUNTIFS('V10 - OAuth and OIDC'!$F$2:$F$44,"Compliant",'V10 - OAuth and OIDC'!$E$2:$E$44,1)</f>
        <v>2</v>
      </c>
      <c r="E15" s="5">
        <f t="shared" si="0"/>
        <v>0.4</v>
      </c>
      <c r="F15" s="7">
        <v>24</v>
      </c>
      <c r="G15" s="4">
        <f>COUNTIFS('V10 - OAuth and OIDC'!$F$2:$F$44,"Compliant",'V10 - OAuth and OIDC'!$E$2:$E$44,2)</f>
        <v>3</v>
      </c>
      <c r="H15" s="5">
        <f t="shared" si="1"/>
        <v>0.125</v>
      </c>
      <c r="I15" s="7">
        <v>7</v>
      </c>
      <c r="J15" s="4">
        <f>COUNTIFS('V10 - OAuth and OIDC'!$F$2:$F$44,"Compliant",'V10 - OAuth and OIDC'!$E$2:$E$44,3)</f>
        <v>0</v>
      </c>
      <c r="K15" s="5">
        <f t="shared" si="2"/>
        <v>0</v>
      </c>
      <c r="L15" s="34">
        <f>COUNTIF('V10 - OAuth and OIDC'!$F$2:$F$44,"Compliant")</f>
        <v>5</v>
      </c>
      <c r="M15" s="5">
        <f t="shared" si="3"/>
        <v>0.1388888888888889</v>
      </c>
    </row>
    <row r="16" spans="1:16" ht="18" customHeight="1" x14ac:dyDescent="0.2">
      <c r="A16" s="3" t="s">
        <v>118</v>
      </c>
      <c r="B16" s="4">
        <v>24</v>
      </c>
      <c r="C16" s="4">
        <v>3</v>
      </c>
      <c r="D16" s="4">
        <f>COUNTIFS('V11 - Cryptography'!$F$2:$F$32,"Compliant",'V11 - Cryptography'!$E$2:$E$32,1)</f>
        <v>3</v>
      </c>
      <c r="E16" s="5">
        <f t="shared" si="0"/>
        <v>1</v>
      </c>
      <c r="F16" s="4">
        <v>11</v>
      </c>
      <c r="G16" s="4">
        <f>COUNTIFS('V11 - Cryptography'!$F$2:$F$32,"Compliant",'V11 - Cryptography'!$E$2:$E$32,2)</f>
        <v>11</v>
      </c>
      <c r="H16" s="5">
        <f t="shared" si="1"/>
        <v>1</v>
      </c>
      <c r="I16" s="4">
        <v>10</v>
      </c>
      <c r="J16" s="4">
        <f>COUNTIFS('V11 - Cryptography'!$F$2:$F$32,"Compliant",'V11 - Cryptography'!$E$2:$E$32,3)</f>
        <v>8</v>
      </c>
      <c r="K16" s="5">
        <f t="shared" si="2"/>
        <v>0.8</v>
      </c>
      <c r="L16" s="35">
        <f>COUNTIF('V11 - Cryptography'!$F$2:$F$32,"Compliant")</f>
        <v>22</v>
      </c>
      <c r="M16" s="5">
        <f t="shared" si="3"/>
        <v>0.91666666666666663</v>
      </c>
    </row>
    <row r="17" spans="1:13" ht="18" customHeight="1" x14ac:dyDescent="0.2">
      <c r="A17" s="6" t="s">
        <v>119</v>
      </c>
      <c r="B17" s="7">
        <v>12</v>
      </c>
      <c r="C17" s="7">
        <v>3</v>
      </c>
      <c r="D17" s="4">
        <f>COUNTIFS('V12 - Secure Communication'!$F$2:$F$16,"Compliant",'V12 - Secure Communication'!$E$2:$E$16,1)</f>
        <v>3</v>
      </c>
      <c r="E17" s="5">
        <f t="shared" si="0"/>
        <v>1</v>
      </c>
      <c r="F17" s="7">
        <v>6</v>
      </c>
      <c r="G17" s="4">
        <f>COUNTIFS('V12 - Secure Communication'!$F$2:$F$16,"Compliant",'V12 - Secure Communication'!$E$2:$E$16,2)</f>
        <v>5</v>
      </c>
      <c r="H17" s="5">
        <f t="shared" si="1"/>
        <v>0.83333333333333337</v>
      </c>
      <c r="I17" s="7">
        <v>3</v>
      </c>
      <c r="J17" s="4">
        <f>COUNTIFS('V12 - Secure Communication'!$F$2:$F$16,"Compliant",'V12 - Secure Communication'!$E$2:$E$16,3)</f>
        <v>2</v>
      </c>
      <c r="K17" s="5">
        <f t="shared" si="2"/>
        <v>0.66666666666666663</v>
      </c>
      <c r="L17" s="34">
        <f>COUNTIF('V12 - Secure Communication'!$F$2:$F$16,"Compliant")</f>
        <v>10</v>
      </c>
      <c r="M17" s="5">
        <f t="shared" si="3"/>
        <v>0.83333333333333337</v>
      </c>
    </row>
    <row r="18" spans="1:13" ht="18" customHeight="1" x14ac:dyDescent="0.2">
      <c r="A18" s="3" t="s">
        <v>120</v>
      </c>
      <c r="B18" s="4">
        <v>21</v>
      </c>
      <c r="C18" s="4">
        <v>1</v>
      </c>
      <c r="D18" s="4">
        <f>COUNTIFS('V13 - Configuration'!$F$2:$F$26,"Compliant",'V13 - Configuration'!$E$2:$E$26,1)</f>
        <v>1</v>
      </c>
      <c r="E18" s="5">
        <f t="shared" si="0"/>
        <v>1</v>
      </c>
      <c r="F18" s="4">
        <v>12</v>
      </c>
      <c r="G18" s="4">
        <f>COUNTIFS('V13 - Configuration'!$F$2:$F$26,"Compliant",'V13 - Configuration'!$E$2:$E$26,2)</f>
        <v>12</v>
      </c>
      <c r="H18" s="5">
        <f t="shared" si="1"/>
        <v>1</v>
      </c>
      <c r="I18" s="4">
        <v>8</v>
      </c>
      <c r="J18" s="4">
        <f>COUNTIFS('V13 - Configuration'!$F$2:$F$26,"Compliant",'V13 - Configuration'!$E$2:$E$26,3)</f>
        <v>8</v>
      </c>
      <c r="K18" s="5">
        <f t="shared" si="2"/>
        <v>1</v>
      </c>
      <c r="L18" s="35">
        <f>COUNTIF('V13 - Configuration'!$F$2:$F$26,"Compliant")</f>
        <v>21</v>
      </c>
      <c r="M18" s="5">
        <f t="shared" si="3"/>
        <v>1</v>
      </c>
    </row>
    <row r="19" spans="1:13" ht="18" customHeight="1" x14ac:dyDescent="0.2">
      <c r="A19" s="6" t="s">
        <v>121</v>
      </c>
      <c r="B19" s="7">
        <v>13</v>
      </c>
      <c r="C19" s="7">
        <v>2</v>
      </c>
      <c r="D19" s="4">
        <f>COUNTIFS('V14 - Data Protection'!$F$2:$F$17,"Compliant",'V14 - Data Protection'!$E$2:$E$17,1)</f>
        <v>1</v>
      </c>
      <c r="E19" s="5">
        <f t="shared" si="0"/>
        <v>0.5</v>
      </c>
      <c r="F19" s="7">
        <v>7</v>
      </c>
      <c r="G19" s="4">
        <f>COUNTIFS('V14 - Data Protection'!$F$2:$F$17,"Compliant",'V14 - Data Protection'!$E$2:$E$17,2)</f>
        <v>5</v>
      </c>
      <c r="H19" s="5">
        <f t="shared" si="1"/>
        <v>0.7142857142857143</v>
      </c>
      <c r="I19" s="7">
        <v>4</v>
      </c>
      <c r="J19" s="4">
        <f>COUNTIFS('V14 - Data Protection'!$F$2:$F$17,"Compliant",'V14 - Data Protection'!$E$2:$E$17,3)</f>
        <v>2</v>
      </c>
      <c r="K19" s="5">
        <f t="shared" si="2"/>
        <v>0.5</v>
      </c>
      <c r="L19" s="34">
        <f>COUNTIF('V14 - Data Protection'!$F$2:$F$17,"Compliant")</f>
        <v>8</v>
      </c>
      <c r="M19" s="5">
        <f t="shared" si="3"/>
        <v>0.61538461538461542</v>
      </c>
    </row>
    <row r="20" spans="1:13" ht="18" customHeight="1" x14ac:dyDescent="0.2">
      <c r="A20" s="3" t="s">
        <v>122</v>
      </c>
      <c r="B20" s="4">
        <v>21</v>
      </c>
      <c r="C20" s="4">
        <v>3</v>
      </c>
      <c r="D20" s="4">
        <f>COUNTIFS('V15 - Secure Coding and Archite'!$F$2:$F$26,"Compliant",'V15 - Secure Coding and Archite'!$E$2:$E$26,1)</f>
        <v>3</v>
      </c>
      <c r="E20" s="5">
        <f t="shared" si="0"/>
        <v>1</v>
      </c>
      <c r="F20" s="4">
        <v>10</v>
      </c>
      <c r="G20" s="4">
        <f>COUNTIFS('V15 - Secure Coding and Archite'!$F$2:$F$26,"Compliant",'V15 - Secure Coding and Archite'!$E$2:$E$26,2)</f>
        <v>5</v>
      </c>
      <c r="H20" s="5">
        <f t="shared" si="1"/>
        <v>0.5</v>
      </c>
      <c r="I20" s="4">
        <v>8</v>
      </c>
      <c r="J20" s="4">
        <f>COUNTIFS('V15 - Secure Coding and Archite'!$F$2:$F$26,"Compliant",'V15 - Secure Coding and Archite'!$E$2:$E$26,3)</f>
        <v>3</v>
      </c>
      <c r="K20" s="5">
        <f t="shared" si="2"/>
        <v>0.375</v>
      </c>
      <c r="L20" s="35">
        <f>COUNTIF('V15 - Secure Coding and Archite'!$F$2:$F$26,"Compliant")</f>
        <v>11</v>
      </c>
      <c r="M20" s="5">
        <f t="shared" si="3"/>
        <v>0.52380952380952384</v>
      </c>
    </row>
    <row r="21" spans="1:13" ht="18" customHeight="1" x14ac:dyDescent="0.2">
      <c r="A21" s="6" t="s">
        <v>123</v>
      </c>
      <c r="B21" s="7">
        <v>17</v>
      </c>
      <c r="C21" s="7">
        <v>0</v>
      </c>
      <c r="D21" s="4">
        <f>COUNTIFS('V16 - Security Logging and Erro'!E3:E23,"Compliant",'V16 - Security Logging and Erro'!F3:F23,1)</f>
        <v>0</v>
      </c>
      <c r="E21" s="33" t="str">
        <f>IF(C21=0,"",D21/C21)</f>
        <v/>
      </c>
      <c r="F21" s="7">
        <v>16</v>
      </c>
      <c r="G21" s="4">
        <f>COUNTIFS('V16 - Security Logging and Erro'!F3:F23,"Compliant",'V16 - Security Logging and Erro'!E3:E23,2)</f>
        <v>10</v>
      </c>
      <c r="H21" s="5">
        <f t="shared" si="1"/>
        <v>0.625</v>
      </c>
      <c r="I21" s="7">
        <v>1</v>
      </c>
      <c r="J21" s="4">
        <f>COUNTIFS('V16 - Security Logging and Erro'!F3:F23,"Compliant",'V16 - Security Logging and Erro'!E3:E23,3)</f>
        <v>0</v>
      </c>
      <c r="K21" s="5">
        <f t="shared" si="2"/>
        <v>0</v>
      </c>
      <c r="L21" s="34">
        <f>COUNTIF('V16 - Security Logging and Erro'!$F$2:$F$23,"Compliant")</f>
        <v>10</v>
      </c>
      <c r="M21" s="5">
        <f t="shared" si="3"/>
        <v>0.58823529411764708</v>
      </c>
    </row>
    <row r="22" spans="1:13" ht="18" customHeight="1" x14ac:dyDescent="0.2">
      <c r="A22" s="3" t="s">
        <v>124</v>
      </c>
      <c r="B22" s="4">
        <v>12</v>
      </c>
      <c r="C22" s="4">
        <v>0</v>
      </c>
      <c r="D22" s="4">
        <f>COUNTIFS('V17 - WebRTC'!E3:E16,"Compliant",'V17 - WebRTC'!F3:F16,1)</f>
        <v>0</v>
      </c>
      <c r="E22" s="33" t="str">
        <f t="shared" si="0"/>
        <v/>
      </c>
      <c r="F22" s="4">
        <v>7</v>
      </c>
      <c r="G22" s="4">
        <f>COUNTIFS('V17 - WebRTC'!F3:F16,"Compliant",'V17 - WebRTC'!E3:E16,2)</f>
        <v>0</v>
      </c>
      <c r="H22" s="5">
        <f t="shared" si="1"/>
        <v>0</v>
      </c>
      <c r="I22" s="4">
        <v>5</v>
      </c>
      <c r="J22" s="4">
        <f>COUNTIFS('V17 - WebRTC'!F3:F16,"Compliant",'V17 - WebRTC'!E3:E16,3)</f>
        <v>0</v>
      </c>
      <c r="K22" s="5">
        <f t="shared" si="2"/>
        <v>0</v>
      </c>
      <c r="L22" s="35">
        <f>COUNTIF('V17 - WebRTC'!$F$2:$F$16,"Compliant")</f>
        <v>0</v>
      </c>
      <c r="M22" s="5">
        <f t="shared" si="3"/>
        <v>0</v>
      </c>
    </row>
    <row r="23" spans="1:13" ht="22" customHeight="1" x14ac:dyDescent="0.2">
      <c r="A23" s="8" t="s">
        <v>125</v>
      </c>
      <c r="B23" s="9">
        <v>345</v>
      </c>
      <c r="C23" s="9">
        <v>70</v>
      </c>
      <c r="D23" s="9">
        <f>SUM(D6:D22)</f>
        <v>51</v>
      </c>
      <c r="E23" s="10">
        <f>IFERROR(AVERAGE(E6:E22),"")</f>
        <v>0.77153846153846162</v>
      </c>
      <c r="F23" s="9">
        <f>SUM(F6:F22)</f>
        <v>183</v>
      </c>
      <c r="G23" s="9">
        <f>SUM(G6:G22)</f>
        <v>96</v>
      </c>
      <c r="H23" s="10">
        <f>IFERROR(AVERAGE(H6:H22),"")</f>
        <v>0.57747309450095829</v>
      </c>
      <c r="I23" s="9">
        <f>SUM(I6:I22)</f>
        <v>92</v>
      </c>
      <c r="J23" s="9">
        <f>SUM(J6:J22)</f>
        <v>45</v>
      </c>
      <c r="K23" s="10">
        <f>IFERROR(AVERAGE(K6:K22),"")</f>
        <v>0.45885416666666667</v>
      </c>
      <c r="L23" s="9">
        <f>SUM(L6:L22)</f>
        <v>192</v>
      </c>
      <c r="M23" s="10">
        <f>IFERROR(AVERAGE(M6:M22),"")</f>
        <v>0.6033600029608488</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Normal="75" workbookViewId="0">
      <pane ySplit="1" topLeftCell="A2" activePane="bottomLeft" state="frozen"/>
      <selection pane="bottomLeft" activeCell="G5" sqref="G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126</v>
      </c>
      <c r="B2" s="12" t="s">
        <v>127</v>
      </c>
      <c r="C2" s="12"/>
      <c r="D2" s="12"/>
      <c r="E2" s="12"/>
      <c r="F2" s="12"/>
      <c r="G2" s="12"/>
      <c r="H2" s="12"/>
    </row>
    <row r="3" spans="1:8" ht="30" customHeight="1" x14ac:dyDescent="0.2">
      <c r="A3" s="13" t="s">
        <v>126</v>
      </c>
      <c r="B3" s="13" t="s">
        <v>127</v>
      </c>
      <c r="C3" s="14" t="s">
        <v>128</v>
      </c>
      <c r="D3" s="15" t="s">
        <v>129</v>
      </c>
      <c r="E3" s="16">
        <v>2</v>
      </c>
      <c r="F3" s="17" t="s">
        <v>18</v>
      </c>
      <c r="G3" s="27" t="s">
        <v>130</v>
      </c>
      <c r="H3" s="15" t="s">
        <v>131</v>
      </c>
    </row>
    <row r="4" spans="1:8" ht="30" customHeight="1" x14ac:dyDescent="0.2">
      <c r="A4" s="18" t="s">
        <v>126</v>
      </c>
      <c r="B4" s="18" t="s">
        <v>127</v>
      </c>
      <c r="C4" s="19" t="s">
        <v>132</v>
      </c>
      <c r="D4" s="20" t="s">
        <v>133</v>
      </c>
      <c r="E4" s="16">
        <v>2</v>
      </c>
      <c r="F4" s="17" t="s">
        <v>18</v>
      </c>
      <c r="G4" s="20" t="s">
        <v>134</v>
      </c>
      <c r="H4" s="20" t="s">
        <v>135</v>
      </c>
    </row>
    <row r="5" spans="1:8" ht="18" customHeight="1" x14ac:dyDescent="0.2">
      <c r="A5" s="12" t="s">
        <v>136</v>
      </c>
      <c r="B5" s="12" t="s">
        <v>137</v>
      </c>
      <c r="C5" s="12"/>
      <c r="D5" s="12"/>
      <c r="E5" s="12"/>
      <c r="F5" s="12"/>
      <c r="G5" s="28"/>
      <c r="H5" s="12"/>
    </row>
    <row r="6" spans="1:8" ht="30" customHeight="1" x14ac:dyDescent="0.2">
      <c r="A6" s="13" t="s">
        <v>136</v>
      </c>
      <c r="B6" s="13" t="s">
        <v>137</v>
      </c>
      <c r="C6" s="14" t="s">
        <v>138</v>
      </c>
      <c r="D6" s="15" t="s">
        <v>139</v>
      </c>
      <c r="E6" s="21">
        <v>1</v>
      </c>
      <c r="F6" s="17" t="s">
        <v>1206</v>
      </c>
      <c r="G6" s="15" t="s">
        <v>141</v>
      </c>
      <c r="H6" s="15"/>
    </row>
    <row r="7" spans="1:8" ht="30" customHeight="1" x14ac:dyDescent="0.2">
      <c r="A7" s="18" t="s">
        <v>136</v>
      </c>
      <c r="B7" s="18" t="s">
        <v>137</v>
      </c>
      <c r="C7" s="19" t="s">
        <v>142</v>
      </c>
      <c r="D7" s="20" t="s">
        <v>143</v>
      </c>
      <c r="E7" s="21">
        <v>1</v>
      </c>
      <c r="F7" s="17" t="s">
        <v>140</v>
      </c>
      <c r="G7" s="20"/>
      <c r="H7" s="20"/>
    </row>
    <row r="8" spans="1:8" ht="30" customHeight="1" x14ac:dyDescent="0.2">
      <c r="A8" s="13" t="s">
        <v>136</v>
      </c>
      <c r="B8" s="13" t="s">
        <v>137</v>
      </c>
      <c r="C8" s="14" t="s">
        <v>144</v>
      </c>
      <c r="D8" s="15" t="s">
        <v>145</v>
      </c>
      <c r="E8" s="21">
        <v>1</v>
      </c>
      <c r="F8" s="17" t="s">
        <v>18</v>
      </c>
      <c r="G8" s="15" t="s">
        <v>146</v>
      </c>
      <c r="H8" s="15" t="s">
        <v>147</v>
      </c>
    </row>
    <row r="9" spans="1:8" ht="30" customHeight="1" x14ac:dyDescent="0.2">
      <c r="A9" s="18" t="s">
        <v>136</v>
      </c>
      <c r="B9" s="18" t="s">
        <v>137</v>
      </c>
      <c r="C9" s="19" t="s">
        <v>148</v>
      </c>
      <c r="D9" s="20" t="s">
        <v>149</v>
      </c>
      <c r="E9" s="21">
        <v>1</v>
      </c>
      <c r="F9" s="17" t="s">
        <v>18</v>
      </c>
      <c r="G9" s="20" t="s">
        <v>150</v>
      </c>
      <c r="H9" s="20" t="s">
        <v>151</v>
      </c>
    </row>
    <row r="10" spans="1:8" ht="30" customHeight="1" x14ac:dyDescent="0.2">
      <c r="A10" s="13" t="s">
        <v>136</v>
      </c>
      <c r="B10" s="13" t="s">
        <v>137</v>
      </c>
      <c r="C10" s="14" t="s">
        <v>152</v>
      </c>
      <c r="D10" s="15" t="s">
        <v>153</v>
      </c>
      <c r="E10" s="21">
        <v>1</v>
      </c>
      <c r="F10" s="17" t="s">
        <v>18</v>
      </c>
      <c r="G10" s="15" t="s">
        <v>154</v>
      </c>
      <c r="H10" s="15" t="s">
        <v>155</v>
      </c>
    </row>
    <row r="11" spans="1:8" ht="30" customHeight="1" x14ac:dyDescent="0.2">
      <c r="A11" s="18" t="s">
        <v>136</v>
      </c>
      <c r="B11" s="18" t="s">
        <v>137</v>
      </c>
      <c r="C11" s="19" t="s">
        <v>156</v>
      </c>
      <c r="D11" s="20" t="s">
        <v>157</v>
      </c>
      <c r="E11" s="16">
        <v>2</v>
      </c>
      <c r="F11" s="17" t="s">
        <v>140</v>
      </c>
      <c r="G11" s="20"/>
      <c r="H11" s="20"/>
    </row>
    <row r="12" spans="1:8" ht="30" customHeight="1" x14ac:dyDescent="0.2">
      <c r="A12" s="13" t="s">
        <v>136</v>
      </c>
      <c r="B12" s="13" t="s">
        <v>137</v>
      </c>
      <c r="C12" s="14" t="s">
        <v>158</v>
      </c>
      <c r="D12" s="15" t="s">
        <v>159</v>
      </c>
      <c r="E12" s="16">
        <v>2</v>
      </c>
      <c r="F12" s="17" t="s">
        <v>140</v>
      </c>
      <c r="G12" s="15"/>
      <c r="H12" s="15"/>
    </row>
    <row r="13" spans="1:8" ht="30" customHeight="1" x14ac:dyDescent="0.2">
      <c r="A13" s="18" t="s">
        <v>136</v>
      </c>
      <c r="B13" s="18" t="s">
        <v>137</v>
      </c>
      <c r="C13" s="19" t="s">
        <v>160</v>
      </c>
      <c r="D13" s="20" t="s">
        <v>161</v>
      </c>
      <c r="E13" s="16">
        <v>2</v>
      </c>
      <c r="F13" s="17" t="s">
        <v>140</v>
      </c>
      <c r="G13" s="20"/>
      <c r="H13" s="20"/>
    </row>
    <row r="14" spans="1:8" ht="30" customHeight="1" x14ac:dyDescent="0.2">
      <c r="A14" s="13" t="s">
        <v>136</v>
      </c>
      <c r="B14" s="13" t="s">
        <v>137</v>
      </c>
      <c r="C14" s="14" t="s">
        <v>162</v>
      </c>
      <c r="D14" s="15" t="s">
        <v>163</v>
      </c>
      <c r="E14" s="16">
        <v>2</v>
      </c>
      <c r="F14" s="17" t="s">
        <v>18</v>
      </c>
      <c r="G14" s="15" t="s">
        <v>164</v>
      </c>
      <c r="H14" s="15" t="s">
        <v>165</v>
      </c>
    </row>
    <row r="15" spans="1:8" ht="30" customHeight="1" x14ac:dyDescent="0.2">
      <c r="A15" s="18" t="s">
        <v>136</v>
      </c>
      <c r="B15" s="18" t="s">
        <v>137</v>
      </c>
      <c r="C15" s="19" t="s">
        <v>166</v>
      </c>
      <c r="D15" s="20" t="s">
        <v>167</v>
      </c>
      <c r="E15" s="22">
        <v>3</v>
      </c>
      <c r="F15" s="17" t="s">
        <v>140</v>
      </c>
      <c r="G15" s="20"/>
      <c r="H15" s="20"/>
    </row>
    <row r="16" spans="1:8" ht="18" customHeight="1" x14ac:dyDescent="0.2">
      <c r="A16" s="12" t="s">
        <v>168</v>
      </c>
      <c r="B16" s="12" t="s">
        <v>169</v>
      </c>
      <c r="C16" s="12"/>
      <c r="D16" s="12"/>
      <c r="E16" s="12"/>
      <c r="F16" s="12"/>
      <c r="G16" s="12"/>
      <c r="H16" s="12"/>
    </row>
    <row r="17" spans="1:8" ht="30" customHeight="1" x14ac:dyDescent="0.2">
      <c r="A17" s="13" t="s">
        <v>168</v>
      </c>
      <c r="B17" s="13" t="s">
        <v>169</v>
      </c>
      <c r="C17" s="14" t="s">
        <v>170</v>
      </c>
      <c r="D17" s="15" t="s">
        <v>171</v>
      </c>
      <c r="E17" s="21">
        <v>1</v>
      </c>
      <c r="F17" s="17" t="s">
        <v>140</v>
      </c>
      <c r="G17" s="15"/>
      <c r="H17" s="15"/>
    </row>
    <row r="18" spans="1:8" ht="30" customHeight="1" x14ac:dyDescent="0.2">
      <c r="A18" s="18" t="s">
        <v>168</v>
      </c>
      <c r="B18" s="18" t="s">
        <v>169</v>
      </c>
      <c r="C18" s="19" t="s">
        <v>172</v>
      </c>
      <c r="D18" s="20" t="s">
        <v>173</v>
      </c>
      <c r="E18" s="21">
        <v>1</v>
      </c>
      <c r="F18" s="17" t="s">
        <v>18</v>
      </c>
      <c r="G18" s="20" t="s">
        <v>174</v>
      </c>
      <c r="H18" s="20" t="s">
        <v>175</v>
      </c>
    </row>
    <row r="19" spans="1:8" ht="30" customHeight="1" x14ac:dyDescent="0.2">
      <c r="A19" s="13" t="s">
        <v>168</v>
      </c>
      <c r="B19" s="13" t="s">
        <v>169</v>
      </c>
      <c r="C19" s="14" t="s">
        <v>176</v>
      </c>
      <c r="D19" s="15" t="s">
        <v>177</v>
      </c>
      <c r="E19" s="16">
        <v>2</v>
      </c>
      <c r="F19" s="17" t="s">
        <v>18</v>
      </c>
      <c r="G19" s="15" t="s">
        <v>178</v>
      </c>
      <c r="H19" s="15" t="s">
        <v>179</v>
      </c>
    </row>
    <row r="20" spans="1:8" ht="30" customHeight="1" x14ac:dyDescent="0.2">
      <c r="A20" s="18" t="s">
        <v>168</v>
      </c>
      <c r="B20" s="18" t="s">
        <v>169</v>
      </c>
      <c r="C20" s="19" t="s">
        <v>180</v>
      </c>
      <c r="D20" s="20" t="s">
        <v>181</v>
      </c>
      <c r="E20" s="16">
        <v>2</v>
      </c>
      <c r="F20" s="17" t="s">
        <v>140</v>
      </c>
      <c r="G20" s="20"/>
      <c r="H20" s="20"/>
    </row>
    <row r="21" spans="1:8" ht="30" customHeight="1" x14ac:dyDescent="0.2">
      <c r="A21" s="13" t="s">
        <v>168</v>
      </c>
      <c r="B21" s="13" t="s">
        <v>169</v>
      </c>
      <c r="C21" s="14" t="s">
        <v>182</v>
      </c>
      <c r="D21" s="15" t="s">
        <v>183</v>
      </c>
      <c r="E21" s="16">
        <v>2</v>
      </c>
      <c r="F21" s="17" t="s">
        <v>140</v>
      </c>
      <c r="G21" s="15"/>
      <c r="H21" s="15"/>
    </row>
    <row r="22" spans="1:8" ht="30" customHeight="1" x14ac:dyDescent="0.2">
      <c r="A22" s="18" t="s">
        <v>168</v>
      </c>
      <c r="B22" s="18" t="s">
        <v>169</v>
      </c>
      <c r="C22" s="19" t="s">
        <v>184</v>
      </c>
      <c r="D22" s="20" t="s">
        <v>185</v>
      </c>
      <c r="E22" s="16">
        <v>2</v>
      </c>
      <c r="F22" s="17" t="s">
        <v>18</v>
      </c>
      <c r="G22" s="20" t="s">
        <v>186</v>
      </c>
      <c r="H22" s="20" t="s">
        <v>187</v>
      </c>
    </row>
    <row r="23" spans="1:8" ht="30" customHeight="1" x14ac:dyDescent="0.2">
      <c r="A23" s="13" t="s">
        <v>168</v>
      </c>
      <c r="B23" s="13" t="s">
        <v>169</v>
      </c>
      <c r="C23" s="14" t="s">
        <v>188</v>
      </c>
      <c r="D23" s="15" t="s">
        <v>189</v>
      </c>
      <c r="E23" s="16">
        <v>2</v>
      </c>
      <c r="F23" s="17" t="s">
        <v>18</v>
      </c>
      <c r="G23" s="15" t="s">
        <v>190</v>
      </c>
      <c r="H23" s="15" t="s">
        <v>191</v>
      </c>
    </row>
    <row r="24" spans="1:8" ht="30" customHeight="1" x14ac:dyDescent="0.2">
      <c r="A24" s="18" t="s">
        <v>168</v>
      </c>
      <c r="B24" s="18" t="s">
        <v>169</v>
      </c>
      <c r="C24" s="19" t="s">
        <v>192</v>
      </c>
      <c r="D24" s="20" t="s">
        <v>193</v>
      </c>
      <c r="E24" s="16">
        <v>2</v>
      </c>
      <c r="F24" s="17" t="s">
        <v>18</v>
      </c>
      <c r="G24" s="20" t="s">
        <v>194</v>
      </c>
      <c r="H24" s="20" t="s">
        <v>195</v>
      </c>
    </row>
    <row r="25" spans="1:8" ht="30" customHeight="1" x14ac:dyDescent="0.2">
      <c r="A25" s="13" t="s">
        <v>168</v>
      </c>
      <c r="B25" s="13" t="s">
        <v>169</v>
      </c>
      <c r="C25" s="14" t="s">
        <v>196</v>
      </c>
      <c r="D25" s="15" t="s">
        <v>197</v>
      </c>
      <c r="E25" s="16">
        <v>2</v>
      </c>
      <c r="F25" s="17" t="s">
        <v>140</v>
      </c>
      <c r="G25" s="15"/>
      <c r="H25" s="15"/>
    </row>
    <row r="26" spans="1:8" ht="30" customHeight="1" x14ac:dyDescent="0.2">
      <c r="A26" s="18" t="s">
        <v>168</v>
      </c>
      <c r="B26" s="18" t="s">
        <v>169</v>
      </c>
      <c r="C26" s="19" t="s">
        <v>198</v>
      </c>
      <c r="D26" s="20" t="s">
        <v>199</v>
      </c>
      <c r="E26" s="16">
        <v>2</v>
      </c>
      <c r="F26" s="17" t="s">
        <v>18</v>
      </c>
      <c r="G26" s="27" t="s">
        <v>200</v>
      </c>
      <c r="H26" s="20" t="s">
        <v>201</v>
      </c>
    </row>
    <row r="27" spans="1:8" ht="30" customHeight="1" x14ac:dyDescent="0.2">
      <c r="A27" s="13" t="s">
        <v>168</v>
      </c>
      <c r="B27" s="13" t="s">
        <v>169</v>
      </c>
      <c r="C27" s="14" t="s">
        <v>202</v>
      </c>
      <c r="D27" s="15" t="s">
        <v>203</v>
      </c>
      <c r="E27" s="16">
        <v>2</v>
      </c>
      <c r="F27" s="17" t="s">
        <v>140</v>
      </c>
      <c r="G27" s="29"/>
      <c r="H27" s="15"/>
    </row>
    <row r="28" spans="1:8" ht="30" customHeight="1" x14ac:dyDescent="0.2">
      <c r="A28" s="18" t="s">
        <v>168</v>
      </c>
      <c r="B28" s="18" t="s">
        <v>169</v>
      </c>
      <c r="C28" s="19" t="s">
        <v>204</v>
      </c>
      <c r="D28" s="20" t="s">
        <v>205</v>
      </c>
      <c r="E28" s="22">
        <v>3</v>
      </c>
      <c r="F28" s="17" t="s">
        <v>18</v>
      </c>
      <c r="G28" s="20" t="s">
        <v>206</v>
      </c>
      <c r="H28" s="20" t="s">
        <v>207</v>
      </c>
    </row>
    <row r="29" spans="1:8" ht="18" customHeight="1" x14ac:dyDescent="0.2">
      <c r="A29" s="12" t="s">
        <v>208</v>
      </c>
      <c r="B29" s="12" t="s">
        <v>209</v>
      </c>
      <c r="C29" s="12"/>
      <c r="D29" s="12"/>
      <c r="E29" s="12"/>
      <c r="F29" s="12"/>
      <c r="G29" s="12"/>
      <c r="H29" s="12"/>
    </row>
    <row r="30" spans="1:8" ht="30" customHeight="1" x14ac:dyDescent="0.2">
      <c r="A30" s="13" t="s">
        <v>208</v>
      </c>
      <c r="B30" s="13" t="s">
        <v>209</v>
      </c>
      <c r="C30" s="14" t="s">
        <v>210</v>
      </c>
      <c r="D30" s="15" t="s">
        <v>211</v>
      </c>
      <c r="E30" s="16">
        <v>2</v>
      </c>
      <c r="F30" s="17" t="s">
        <v>18</v>
      </c>
      <c r="G30" s="15" t="s">
        <v>212</v>
      </c>
      <c r="H30" s="15" t="s">
        <v>213</v>
      </c>
    </row>
    <row r="31" spans="1:8" ht="30" customHeight="1" x14ac:dyDescent="0.2">
      <c r="A31" s="18" t="s">
        <v>208</v>
      </c>
      <c r="B31" s="18" t="s">
        <v>209</v>
      </c>
      <c r="C31" s="19" t="s">
        <v>214</v>
      </c>
      <c r="D31" s="20" t="s">
        <v>215</v>
      </c>
      <c r="E31" s="16">
        <v>2</v>
      </c>
      <c r="F31" s="17" t="s">
        <v>18</v>
      </c>
      <c r="G31" s="20" t="s">
        <v>216</v>
      </c>
      <c r="H31" s="20" t="s">
        <v>217</v>
      </c>
    </row>
    <row r="32" spans="1:8" ht="30" customHeight="1" x14ac:dyDescent="0.2">
      <c r="A32" s="13" t="s">
        <v>208</v>
      </c>
      <c r="B32" s="13" t="s">
        <v>209</v>
      </c>
      <c r="C32" s="14" t="s">
        <v>218</v>
      </c>
      <c r="D32" s="15" t="s">
        <v>219</v>
      </c>
      <c r="E32" s="16">
        <v>2</v>
      </c>
      <c r="F32" s="17" t="s">
        <v>140</v>
      </c>
      <c r="G32" s="15"/>
      <c r="H32" s="15"/>
    </row>
    <row r="33" spans="1:8" ht="18" customHeight="1" x14ac:dyDescent="0.2">
      <c r="A33" s="12" t="s">
        <v>220</v>
      </c>
      <c r="B33" s="12" t="s">
        <v>221</v>
      </c>
      <c r="C33" s="12"/>
      <c r="D33" s="12"/>
      <c r="E33" s="12"/>
      <c r="F33" s="12"/>
      <c r="G33" s="12"/>
      <c r="H33" s="12"/>
    </row>
    <row r="34" spans="1:8" ht="30" customHeight="1" x14ac:dyDescent="0.2">
      <c r="A34" s="13" t="s">
        <v>220</v>
      </c>
      <c r="B34" s="13" t="s">
        <v>221</v>
      </c>
      <c r="C34" s="14" t="s">
        <v>222</v>
      </c>
      <c r="D34" s="15" t="s">
        <v>223</v>
      </c>
      <c r="E34" s="21">
        <v>1</v>
      </c>
      <c r="F34" s="17" t="s">
        <v>140</v>
      </c>
      <c r="G34" s="15"/>
      <c r="H34" s="15"/>
    </row>
    <row r="35" spans="1:8" ht="30" customHeight="1" x14ac:dyDescent="0.2">
      <c r="A35" s="18" t="s">
        <v>220</v>
      </c>
      <c r="B35" s="18" t="s">
        <v>221</v>
      </c>
      <c r="C35" s="19" t="s">
        <v>224</v>
      </c>
      <c r="D35" s="20" t="s">
        <v>225</v>
      </c>
      <c r="E35" s="16">
        <v>2</v>
      </c>
      <c r="F35" s="17" t="s">
        <v>18</v>
      </c>
      <c r="G35" s="20" t="s">
        <v>226</v>
      </c>
      <c r="H35" s="20" t="s">
        <v>227</v>
      </c>
    </row>
    <row r="36" spans="1:8" ht="30" customHeight="1" x14ac:dyDescent="0.2">
      <c r="A36" s="13" t="s">
        <v>220</v>
      </c>
      <c r="B36" s="13" t="s">
        <v>221</v>
      </c>
      <c r="C36" s="14" t="s">
        <v>228</v>
      </c>
      <c r="D36" s="15" t="s">
        <v>229</v>
      </c>
      <c r="E36" s="22">
        <v>3</v>
      </c>
      <c r="F36" s="17" t="s">
        <v>18</v>
      </c>
      <c r="G36" s="15" t="s">
        <v>230</v>
      </c>
      <c r="H36" s="15" t="s">
        <v>231</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F12" sqref="F1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232</v>
      </c>
      <c r="B2" s="12" t="s">
        <v>233</v>
      </c>
      <c r="C2" s="12"/>
      <c r="D2" s="12"/>
      <c r="E2" s="12"/>
      <c r="F2" s="12"/>
      <c r="G2" s="12"/>
      <c r="H2" s="12"/>
    </row>
    <row r="3" spans="1:8" ht="30" customHeight="1" x14ac:dyDescent="0.2">
      <c r="A3" s="13" t="s">
        <v>232</v>
      </c>
      <c r="B3" s="13" t="s">
        <v>233</v>
      </c>
      <c r="C3" s="14" t="s">
        <v>234</v>
      </c>
      <c r="D3" s="15" t="s">
        <v>235</v>
      </c>
      <c r="E3" s="21">
        <v>1</v>
      </c>
      <c r="F3" s="17" t="s">
        <v>18</v>
      </c>
      <c r="G3" s="15" t="s">
        <v>236</v>
      </c>
      <c r="H3" s="15"/>
    </row>
    <row r="4" spans="1:8" ht="30" customHeight="1" x14ac:dyDescent="0.2">
      <c r="A4" s="18" t="s">
        <v>232</v>
      </c>
      <c r="B4" s="18" t="s">
        <v>233</v>
      </c>
      <c r="C4" s="19" t="s">
        <v>237</v>
      </c>
      <c r="D4" s="20" t="s">
        <v>238</v>
      </c>
      <c r="E4" s="16">
        <v>2</v>
      </c>
      <c r="F4" s="17" t="s">
        <v>18</v>
      </c>
      <c r="G4" s="27" t="s">
        <v>239</v>
      </c>
      <c r="H4" s="20"/>
    </row>
    <row r="5" spans="1:8" ht="30" customHeight="1" x14ac:dyDescent="0.2">
      <c r="A5" s="13" t="s">
        <v>232</v>
      </c>
      <c r="B5" s="13" t="s">
        <v>233</v>
      </c>
      <c r="C5" s="14" t="s">
        <v>240</v>
      </c>
      <c r="D5" s="15" t="s">
        <v>241</v>
      </c>
      <c r="E5" s="16">
        <v>2</v>
      </c>
      <c r="F5" s="17" t="s">
        <v>18</v>
      </c>
      <c r="G5" s="15" t="s">
        <v>242</v>
      </c>
      <c r="H5" s="15"/>
    </row>
    <row r="6" spans="1:8" ht="18" customHeight="1" x14ac:dyDescent="0.2">
      <c r="A6" s="12" t="s">
        <v>243</v>
      </c>
      <c r="B6" s="12" t="s">
        <v>244</v>
      </c>
      <c r="C6" s="12"/>
      <c r="D6" s="12"/>
      <c r="E6" s="12"/>
      <c r="F6" s="12"/>
      <c r="G6" s="12"/>
      <c r="H6" s="12"/>
    </row>
    <row r="7" spans="1:8" ht="30" customHeight="1" x14ac:dyDescent="0.2">
      <c r="A7" s="13" t="s">
        <v>243</v>
      </c>
      <c r="B7" s="13" t="s">
        <v>244</v>
      </c>
      <c r="C7" s="14" t="s">
        <v>245</v>
      </c>
      <c r="D7" s="15" t="s">
        <v>246</v>
      </c>
      <c r="E7" s="21">
        <v>1</v>
      </c>
      <c r="F7" s="17" t="s">
        <v>18</v>
      </c>
      <c r="G7" s="15" t="s">
        <v>247</v>
      </c>
      <c r="H7" s="15" t="s">
        <v>248</v>
      </c>
    </row>
    <row r="8" spans="1:8" ht="30" customHeight="1" x14ac:dyDescent="0.2">
      <c r="A8" s="18" t="s">
        <v>243</v>
      </c>
      <c r="B8" s="18" t="s">
        <v>244</v>
      </c>
      <c r="C8" s="19" t="s">
        <v>249</v>
      </c>
      <c r="D8" s="20" t="s">
        <v>250</v>
      </c>
      <c r="E8" s="21">
        <v>1</v>
      </c>
      <c r="F8" s="17" t="s">
        <v>18</v>
      </c>
      <c r="G8" s="20" t="s">
        <v>251</v>
      </c>
      <c r="H8" s="20" t="s">
        <v>252</v>
      </c>
    </row>
    <row r="9" spans="1:8" ht="30" customHeight="1" x14ac:dyDescent="0.2">
      <c r="A9" s="13" t="s">
        <v>243</v>
      </c>
      <c r="B9" s="13" t="s">
        <v>244</v>
      </c>
      <c r="C9" s="14" t="s">
        <v>253</v>
      </c>
      <c r="D9" s="15" t="s">
        <v>254</v>
      </c>
      <c r="E9" s="16">
        <v>2</v>
      </c>
      <c r="F9" s="17" t="s">
        <v>18</v>
      </c>
      <c r="G9" s="27" t="s">
        <v>255</v>
      </c>
      <c r="H9" s="15" t="s">
        <v>256</v>
      </c>
    </row>
    <row r="10" spans="1:8" ht="18" customHeight="1" x14ac:dyDescent="0.2">
      <c r="A10" s="12" t="s">
        <v>257</v>
      </c>
      <c r="B10" s="12" t="s">
        <v>258</v>
      </c>
      <c r="C10" s="12"/>
      <c r="D10" s="12"/>
      <c r="E10" s="12"/>
      <c r="F10" s="12"/>
      <c r="G10" s="12"/>
      <c r="H10" s="12"/>
    </row>
    <row r="11" spans="1:8" ht="30" customHeight="1" x14ac:dyDescent="0.2">
      <c r="A11" s="13" t="s">
        <v>257</v>
      </c>
      <c r="B11" s="13" t="s">
        <v>258</v>
      </c>
      <c r="C11" s="14" t="s">
        <v>259</v>
      </c>
      <c r="D11" s="15" t="s">
        <v>260</v>
      </c>
      <c r="E11" s="21">
        <v>1</v>
      </c>
      <c r="F11" s="17" t="s">
        <v>18</v>
      </c>
      <c r="G11" s="15" t="s">
        <v>261</v>
      </c>
      <c r="H11" s="15" t="s">
        <v>262</v>
      </c>
    </row>
    <row r="12" spans="1:8" ht="30" customHeight="1" x14ac:dyDescent="0.2">
      <c r="A12" s="18" t="s">
        <v>257</v>
      </c>
      <c r="B12" s="18" t="s">
        <v>258</v>
      </c>
      <c r="C12" s="19" t="s">
        <v>263</v>
      </c>
      <c r="D12" s="20" t="s">
        <v>264</v>
      </c>
      <c r="E12" s="16">
        <v>2</v>
      </c>
      <c r="F12" s="17" t="s">
        <v>18</v>
      </c>
      <c r="G12" s="20" t="s">
        <v>265</v>
      </c>
      <c r="H12" s="20" t="s">
        <v>266</v>
      </c>
    </row>
    <row r="13" spans="1:8" ht="30" customHeight="1" x14ac:dyDescent="0.2">
      <c r="A13" s="13" t="s">
        <v>257</v>
      </c>
      <c r="B13" s="13" t="s">
        <v>258</v>
      </c>
      <c r="C13" s="14" t="s">
        <v>267</v>
      </c>
      <c r="D13" s="15" t="s">
        <v>268</v>
      </c>
      <c r="E13" s="16">
        <v>2</v>
      </c>
      <c r="F13" s="17" t="s">
        <v>18</v>
      </c>
      <c r="G13" s="15" t="s">
        <v>269</v>
      </c>
      <c r="H13" s="15" t="s">
        <v>270</v>
      </c>
    </row>
    <row r="14" spans="1:8" ht="30" customHeight="1" x14ac:dyDescent="0.2">
      <c r="A14" s="18" t="s">
        <v>257</v>
      </c>
      <c r="B14" s="18" t="s">
        <v>258</v>
      </c>
      <c r="C14" s="19" t="s">
        <v>271</v>
      </c>
      <c r="D14" s="20" t="s">
        <v>272</v>
      </c>
      <c r="E14" s="16">
        <v>2</v>
      </c>
      <c r="F14" s="17" t="s">
        <v>140</v>
      </c>
      <c r="G14" s="20"/>
      <c r="H14" s="20"/>
    </row>
    <row r="15" spans="1:8" ht="30" customHeight="1" x14ac:dyDescent="0.2">
      <c r="A15" s="13" t="s">
        <v>257</v>
      </c>
      <c r="B15" s="13" t="s">
        <v>258</v>
      </c>
      <c r="C15" s="14" t="s">
        <v>273</v>
      </c>
      <c r="D15" s="15" t="s">
        <v>274</v>
      </c>
      <c r="E15" s="22">
        <v>3</v>
      </c>
      <c r="F15" s="17" t="s">
        <v>140</v>
      </c>
      <c r="G15" s="15"/>
      <c r="H15" s="15"/>
    </row>
    <row r="16" spans="1:8" ht="18" customHeight="1" x14ac:dyDescent="0.2">
      <c r="A16" s="12" t="s">
        <v>275</v>
      </c>
      <c r="B16" s="12" t="s">
        <v>276</v>
      </c>
      <c r="C16" s="12"/>
      <c r="D16" s="12"/>
      <c r="E16" s="12"/>
      <c r="F16" s="12"/>
      <c r="G16" s="12"/>
      <c r="H16" s="12"/>
    </row>
    <row r="17" spans="1:8" ht="30" customHeight="1" x14ac:dyDescent="0.2">
      <c r="A17" s="13" t="s">
        <v>275</v>
      </c>
      <c r="B17" s="13" t="s">
        <v>276</v>
      </c>
      <c r="C17" s="14" t="s">
        <v>277</v>
      </c>
      <c r="D17" s="15" t="s">
        <v>278</v>
      </c>
      <c r="E17" s="16">
        <v>2</v>
      </c>
      <c r="F17" s="17" t="s">
        <v>18</v>
      </c>
      <c r="G17" s="15" t="s">
        <v>279</v>
      </c>
      <c r="H17" s="15" t="s">
        <v>280</v>
      </c>
    </row>
    <row r="18" spans="1:8" ht="30" customHeight="1" x14ac:dyDescent="0.2">
      <c r="A18" s="18" t="s">
        <v>275</v>
      </c>
      <c r="B18" s="18" t="s">
        <v>276</v>
      </c>
      <c r="C18" s="19" t="s">
        <v>281</v>
      </c>
      <c r="D18" s="20" t="s">
        <v>282</v>
      </c>
      <c r="E18" s="22">
        <v>3</v>
      </c>
      <c r="F18" s="17" t="s">
        <v>18</v>
      </c>
      <c r="G18" s="20" t="s">
        <v>283</v>
      </c>
      <c r="H18" s="20" t="s">
        <v>284</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85" zoomScaleNormal="85" workbookViewId="0">
      <pane ySplit="1" topLeftCell="A8" activePane="bottomLeft" state="frozen"/>
      <selection pane="bottomLeft" activeCell="J9" sqref="J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285</v>
      </c>
      <c r="B2" s="12" t="s">
        <v>286</v>
      </c>
      <c r="C2" s="12"/>
      <c r="D2" s="12"/>
      <c r="E2" s="12"/>
      <c r="F2" s="12"/>
      <c r="G2" s="12"/>
      <c r="H2" s="12"/>
    </row>
    <row r="3" spans="1:8" ht="30" customHeight="1" x14ac:dyDescent="0.2">
      <c r="A3" s="13" t="s">
        <v>285</v>
      </c>
      <c r="B3" s="13" t="s">
        <v>286</v>
      </c>
      <c r="C3" s="14" t="s">
        <v>287</v>
      </c>
      <c r="D3" s="15" t="s">
        <v>288</v>
      </c>
      <c r="E3" s="22">
        <v>3</v>
      </c>
      <c r="F3" s="17" t="s">
        <v>140</v>
      </c>
      <c r="G3" s="15"/>
      <c r="H3" s="15"/>
    </row>
    <row r="4" spans="1:8" ht="18" customHeight="1" x14ac:dyDescent="0.2">
      <c r="A4" s="12" t="s">
        <v>289</v>
      </c>
      <c r="B4" s="12" t="s">
        <v>290</v>
      </c>
      <c r="C4" s="12"/>
      <c r="D4" s="12"/>
      <c r="E4" s="12"/>
      <c r="F4" s="12"/>
      <c r="G4" s="12"/>
      <c r="H4" s="12"/>
    </row>
    <row r="5" spans="1:8" ht="30" customHeight="1" x14ac:dyDescent="0.2">
      <c r="A5" s="13" t="s">
        <v>289</v>
      </c>
      <c r="B5" s="13" t="s">
        <v>290</v>
      </c>
      <c r="C5" s="14" t="s">
        <v>291</v>
      </c>
      <c r="D5" s="15" t="s">
        <v>292</v>
      </c>
      <c r="E5" s="21">
        <v>1</v>
      </c>
      <c r="F5" s="17" t="s">
        <v>140</v>
      </c>
      <c r="G5" s="15"/>
      <c r="H5" s="15"/>
    </row>
    <row r="6" spans="1:8" ht="30" customHeight="1" x14ac:dyDescent="0.2">
      <c r="A6" s="18" t="s">
        <v>289</v>
      </c>
      <c r="B6" s="18" t="s">
        <v>290</v>
      </c>
      <c r="C6" s="19" t="s">
        <v>293</v>
      </c>
      <c r="D6" s="20" t="s">
        <v>294</v>
      </c>
      <c r="E6" s="21">
        <v>1</v>
      </c>
      <c r="F6" s="17" t="s">
        <v>140</v>
      </c>
      <c r="G6" s="20"/>
      <c r="H6" s="20"/>
    </row>
    <row r="7" spans="1:8" ht="30" customHeight="1" x14ac:dyDescent="0.2">
      <c r="A7" s="13" t="s">
        <v>289</v>
      </c>
      <c r="B7" s="13" t="s">
        <v>290</v>
      </c>
      <c r="C7" s="14" t="s">
        <v>295</v>
      </c>
      <c r="D7" s="15" t="s">
        <v>296</v>
      </c>
      <c r="E7" s="22">
        <v>3</v>
      </c>
      <c r="F7" s="17" t="s">
        <v>140</v>
      </c>
      <c r="G7" s="15"/>
      <c r="H7" s="15"/>
    </row>
    <row r="8" spans="1:8" ht="18" customHeight="1" x14ac:dyDescent="0.2">
      <c r="A8" s="12" t="s">
        <v>297</v>
      </c>
      <c r="B8" s="12" t="s">
        <v>298</v>
      </c>
      <c r="C8" s="12"/>
      <c r="D8" s="12"/>
      <c r="E8" s="12"/>
      <c r="F8" s="12"/>
      <c r="G8" s="12"/>
      <c r="H8" s="12"/>
    </row>
    <row r="9" spans="1:8" ht="30" customHeight="1" x14ac:dyDescent="0.2">
      <c r="A9" s="13" t="s">
        <v>297</v>
      </c>
      <c r="B9" s="13" t="s">
        <v>298</v>
      </c>
      <c r="C9" s="14" t="s">
        <v>299</v>
      </c>
      <c r="D9" s="15" t="s">
        <v>300</v>
      </c>
      <c r="E9" s="21">
        <v>1</v>
      </c>
      <c r="F9" s="17" t="s">
        <v>140</v>
      </c>
      <c r="G9" s="15"/>
      <c r="H9" s="15"/>
    </row>
    <row r="10" spans="1:8" ht="30" customHeight="1" x14ac:dyDescent="0.2">
      <c r="A10" s="18" t="s">
        <v>297</v>
      </c>
      <c r="B10" s="18" t="s">
        <v>298</v>
      </c>
      <c r="C10" s="19" t="s">
        <v>301</v>
      </c>
      <c r="D10" s="20" t="s">
        <v>302</v>
      </c>
      <c r="E10" s="16">
        <v>2</v>
      </c>
      <c r="F10" s="17" t="s">
        <v>140</v>
      </c>
      <c r="G10" s="20"/>
      <c r="H10" s="20"/>
    </row>
    <row r="11" spans="1:8" ht="30" customHeight="1" x14ac:dyDescent="0.2">
      <c r="A11" s="13" t="s">
        <v>297</v>
      </c>
      <c r="B11" s="13" t="s">
        <v>298</v>
      </c>
      <c r="C11" s="14" t="s">
        <v>303</v>
      </c>
      <c r="D11" s="15" t="s">
        <v>304</v>
      </c>
      <c r="E11" s="16">
        <v>2</v>
      </c>
      <c r="F11" s="17" t="s">
        <v>140</v>
      </c>
      <c r="G11" s="15"/>
      <c r="H11" s="15"/>
    </row>
    <row r="12" spans="1:8" ht="30" customHeight="1" x14ac:dyDescent="0.2">
      <c r="A12" s="18" t="s">
        <v>297</v>
      </c>
      <c r="B12" s="18" t="s">
        <v>298</v>
      </c>
      <c r="C12" s="19" t="s">
        <v>305</v>
      </c>
      <c r="D12" s="20" t="s">
        <v>306</v>
      </c>
      <c r="E12" s="16">
        <v>2</v>
      </c>
      <c r="F12" s="17" t="s">
        <v>140</v>
      </c>
      <c r="G12" s="20"/>
      <c r="H12" s="20"/>
    </row>
    <row r="13" spans="1:8" ht="30" customHeight="1" x14ac:dyDescent="0.2">
      <c r="A13" s="13" t="s">
        <v>297</v>
      </c>
      <c r="B13" s="13" t="s">
        <v>298</v>
      </c>
      <c r="C13" s="14" t="s">
        <v>307</v>
      </c>
      <c r="D13" s="15" t="s">
        <v>308</v>
      </c>
      <c r="E13" s="22">
        <v>3</v>
      </c>
      <c r="F13" s="17" t="s">
        <v>140</v>
      </c>
      <c r="G13" s="15"/>
      <c r="H13" s="15"/>
    </row>
    <row r="14" spans="1:8" ht="18" customHeight="1" x14ac:dyDescent="0.2">
      <c r="A14" s="12" t="s">
        <v>309</v>
      </c>
      <c r="B14" s="12" t="s">
        <v>310</v>
      </c>
      <c r="C14" s="12"/>
      <c r="D14" s="12"/>
      <c r="E14" s="12"/>
      <c r="F14" s="12"/>
      <c r="G14" s="12"/>
      <c r="H14" s="12"/>
    </row>
    <row r="15" spans="1:8" ht="30" customHeight="1" x14ac:dyDescent="0.2">
      <c r="A15" s="13" t="s">
        <v>309</v>
      </c>
      <c r="B15" s="13" t="s">
        <v>310</v>
      </c>
      <c r="C15" s="14" t="s">
        <v>311</v>
      </c>
      <c r="D15" s="15" t="s">
        <v>312</v>
      </c>
      <c r="E15" s="21">
        <v>1</v>
      </c>
      <c r="F15" s="17" t="s">
        <v>140</v>
      </c>
      <c r="G15" s="15"/>
      <c r="H15" s="15"/>
    </row>
    <row r="16" spans="1:8" ht="30" customHeight="1" x14ac:dyDescent="0.2">
      <c r="A16" s="18" t="s">
        <v>309</v>
      </c>
      <c r="B16" s="18" t="s">
        <v>310</v>
      </c>
      <c r="C16" s="19" t="s">
        <v>313</v>
      </c>
      <c r="D16" s="20" t="s">
        <v>314</v>
      </c>
      <c r="E16" s="21">
        <v>1</v>
      </c>
      <c r="F16" s="17" t="s">
        <v>140</v>
      </c>
      <c r="G16" s="20"/>
      <c r="H16" s="20"/>
    </row>
    <row r="17" spans="1:8" ht="30" customHeight="1" x14ac:dyDescent="0.2">
      <c r="A17" s="13" t="s">
        <v>309</v>
      </c>
      <c r="B17" s="13" t="s">
        <v>310</v>
      </c>
      <c r="C17" s="14" t="s">
        <v>315</v>
      </c>
      <c r="D17" s="15" t="s">
        <v>316</v>
      </c>
      <c r="E17" s="16">
        <v>2</v>
      </c>
      <c r="F17" s="17" t="s">
        <v>140</v>
      </c>
      <c r="G17" s="15"/>
      <c r="H17" s="15"/>
    </row>
    <row r="18" spans="1:8" ht="30" customHeight="1" x14ac:dyDescent="0.2">
      <c r="A18" s="18" t="s">
        <v>309</v>
      </c>
      <c r="B18" s="18" t="s">
        <v>310</v>
      </c>
      <c r="C18" s="19" t="s">
        <v>317</v>
      </c>
      <c r="D18" s="20" t="s">
        <v>318</v>
      </c>
      <c r="E18" s="16">
        <v>2</v>
      </c>
      <c r="F18" s="17" t="s">
        <v>140</v>
      </c>
      <c r="G18" s="20"/>
      <c r="H18" s="20"/>
    </row>
    <row r="19" spans="1:8" ht="30" customHeight="1" x14ac:dyDescent="0.2">
      <c r="A19" s="13" t="s">
        <v>309</v>
      </c>
      <c r="B19" s="13" t="s">
        <v>310</v>
      </c>
      <c r="C19" s="14" t="s">
        <v>319</v>
      </c>
      <c r="D19" s="15" t="s">
        <v>320</v>
      </c>
      <c r="E19" s="16">
        <v>2</v>
      </c>
      <c r="F19" s="17" t="s">
        <v>140</v>
      </c>
      <c r="G19" s="15"/>
      <c r="H19" s="15"/>
    </row>
    <row r="20" spans="1:8" ht="30" customHeight="1" x14ac:dyDescent="0.2">
      <c r="A20" s="18" t="s">
        <v>309</v>
      </c>
      <c r="B20" s="18" t="s">
        <v>310</v>
      </c>
      <c r="C20" s="19" t="s">
        <v>321</v>
      </c>
      <c r="D20" s="20" t="s">
        <v>322</v>
      </c>
      <c r="E20" s="16">
        <v>2</v>
      </c>
      <c r="F20" s="17" t="s">
        <v>140</v>
      </c>
      <c r="G20" s="20"/>
      <c r="H20" s="20"/>
    </row>
    <row r="21" spans="1:8" ht="30" customHeight="1" x14ac:dyDescent="0.2">
      <c r="A21" s="13" t="s">
        <v>309</v>
      </c>
      <c r="B21" s="13" t="s">
        <v>310</v>
      </c>
      <c r="C21" s="14" t="s">
        <v>323</v>
      </c>
      <c r="D21" s="15" t="s">
        <v>324</v>
      </c>
      <c r="E21" s="22">
        <v>3</v>
      </c>
      <c r="F21" s="17" t="s">
        <v>140</v>
      </c>
      <c r="G21" s="15"/>
      <c r="H21" s="15"/>
    </row>
    <row r="22" spans="1:8" ht="30" customHeight="1" x14ac:dyDescent="0.2">
      <c r="A22" s="18" t="s">
        <v>309</v>
      </c>
      <c r="B22" s="18" t="s">
        <v>310</v>
      </c>
      <c r="C22" s="19" t="s">
        <v>325</v>
      </c>
      <c r="D22" s="20" t="s">
        <v>326</v>
      </c>
      <c r="E22" s="22">
        <v>3</v>
      </c>
      <c r="F22" s="17" t="s">
        <v>140</v>
      </c>
      <c r="G22" s="20"/>
      <c r="H22" s="20"/>
    </row>
    <row r="23" spans="1:8" ht="18" customHeight="1" x14ac:dyDescent="0.2">
      <c r="A23" s="12" t="s">
        <v>327</v>
      </c>
      <c r="B23" s="12" t="s">
        <v>328</v>
      </c>
      <c r="C23" s="12"/>
      <c r="D23" s="12"/>
      <c r="E23" s="12"/>
      <c r="F23" s="12"/>
      <c r="G23" s="12"/>
      <c r="H23" s="12"/>
    </row>
    <row r="24" spans="1:8" ht="30" customHeight="1" x14ac:dyDescent="0.2">
      <c r="A24" s="13" t="s">
        <v>327</v>
      </c>
      <c r="B24" s="13" t="s">
        <v>328</v>
      </c>
      <c r="C24" s="14" t="s">
        <v>329</v>
      </c>
      <c r="D24" s="15" t="s">
        <v>330</v>
      </c>
      <c r="E24" s="21">
        <v>1</v>
      </c>
      <c r="F24" s="17" t="s">
        <v>140</v>
      </c>
      <c r="G24" s="15"/>
      <c r="H24" s="15"/>
    </row>
    <row r="25" spans="1:8" ht="30" customHeight="1" x14ac:dyDescent="0.2">
      <c r="A25" s="18" t="s">
        <v>327</v>
      </c>
      <c r="B25" s="18" t="s">
        <v>328</v>
      </c>
      <c r="C25" s="19" t="s">
        <v>331</v>
      </c>
      <c r="D25" s="20" t="s">
        <v>332</v>
      </c>
      <c r="E25" s="21">
        <v>1</v>
      </c>
      <c r="F25" s="17" t="s">
        <v>140</v>
      </c>
      <c r="G25" s="20"/>
      <c r="H25" s="20"/>
    </row>
    <row r="26" spans="1:8" ht="30" customHeight="1" x14ac:dyDescent="0.2">
      <c r="A26" s="13" t="s">
        <v>327</v>
      </c>
      <c r="B26" s="13" t="s">
        <v>328</v>
      </c>
      <c r="C26" s="14" t="s">
        <v>333</v>
      </c>
      <c r="D26" s="15" t="s">
        <v>334</v>
      </c>
      <c r="E26" s="21">
        <v>1</v>
      </c>
      <c r="F26" s="17" t="s">
        <v>140</v>
      </c>
      <c r="G26" s="15"/>
      <c r="H26" s="15"/>
    </row>
    <row r="27" spans="1:8" ht="30" customHeight="1" x14ac:dyDescent="0.2">
      <c r="A27" s="18" t="s">
        <v>327</v>
      </c>
      <c r="B27" s="18" t="s">
        <v>328</v>
      </c>
      <c r="C27" s="19" t="s">
        <v>335</v>
      </c>
      <c r="D27" s="20" t="s">
        <v>336</v>
      </c>
      <c r="E27" s="16">
        <v>2</v>
      </c>
      <c r="F27" s="17" t="s">
        <v>140</v>
      </c>
      <c r="G27" s="20"/>
      <c r="H27" s="20"/>
    </row>
    <row r="28" spans="1:8" ht="30" customHeight="1" x14ac:dyDescent="0.2">
      <c r="A28" s="13" t="s">
        <v>327</v>
      </c>
      <c r="B28" s="13" t="s">
        <v>328</v>
      </c>
      <c r="C28" s="14" t="s">
        <v>337</v>
      </c>
      <c r="D28" s="15" t="s">
        <v>338</v>
      </c>
      <c r="E28" s="16">
        <v>2</v>
      </c>
      <c r="F28" s="17" t="s">
        <v>140</v>
      </c>
      <c r="G28" s="15"/>
      <c r="H28" s="15"/>
    </row>
    <row r="29" spans="1:8" ht="30" customHeight="1" x14ac:dyDescent="0.2">
      <c r="A29" s="18" t="s">
        <v>327</v>
      </c>
      <c r="B29" s="18" t="s">
        <v>328</v>
      </c>
      <c r="C29" s="19" t="s">
        <v>339</v>
      </c>
      <c r="D29" s="20" t="s">
        <v>340</v>
      </c>
      <c r="E29" s="22">
        <v>3</v>
      </c>
      <c r="F29" s="17" t="s">
        <v>140</v>
      </c>
      <c r="G29" s="20"/>
      <c r="H29" s="20"/>
    </row>
    <row r="30" spans="1:8" ht="30" customHeight="1" x14ac:dyDescent="0.2">
      <c r="A30" s="13" t="s">
        <v>327</v>
      </c>
      <c r="B30" s="13" t="s">
        <v>328</v>
      </c>
      <c r="C30" s="14" t="s">
        <v>341</v>
      </c>
      <c r="D30" s="15" t="s">
        <v>342</v>
      </c>
      <c r="E30" s="22">
        <v>3</v>
      </c>
      <c r="F30" s="17" t="s">
        <v>140</v>
      </c>
      <c r="G30" s="15"/>
      <c r="H30" s="15"/>
    </row>
    <row r="31" spans="1:8" ht="30" customHeight="1" x14ac:dyDescent="0.2">
      <c r="A31" s="18" t="s">
        <v>327</v>
      </c>
      <c r="B31" s="18" t="s">
        <v>328</v>
      </c>
      <c r="C31" s="19" t="s">
        <v>343</v>
      </c>
      <c r="D31" s="20" t="s">
        <v>344</v>
      </c>
      <c r="E31" s="22">
        <v>3</v>
      </c>
      <c r="F31" s="17" t="s">
        <v>140</v>
      </c>
      <c r="G31" s="20"/>
      <c r="H31" s="20"/>
    </row>
    <row r="32" spans="1:8" ht="18" customHeight="1" x14ac:dyDescent="0.2">
      <c r="A32" s="12" t="s">
        <v>345</v>
      </c>
      <c r="B32" s="12" t="s">
        <v>346</v>
      </c>
      <c r="C32" s="12"/>
      <c r="D32" s="12"/>
      <c r="E32" s="12"/>
      <c r="F32" s="12"/>
      <c r="G32" s="12"/>
      <c r="H32" s="12"/>
    </row>
    <row r="33" spans="1:8" ht="30" customHeight="1" x14ac:dyDescent="0.2">
      <c r="A33" s="13" t="s">
        <v>345</v>
      </c>
      <c r="B33" s="13" t="s">
        <v>346</v>
      </c>
      <c r="C33" s="14" t="s">
        <v>347</v>
      </c>
      <c r="D33" s="15" t="s">
        <v>348</v>
      </c>
      <c r="E33" s="22">
        <v>3</v>
      </c>
      <c r="F33" s="17" t="s">
        <v>140</v>
      </c>
      <c r="G33" s="15"/>
      <c r="H33" s="15"/>
    </row>
    <row r="34" spans="1:8" ht="18" customHeight="1" x14ac:dyDescent="0.2">
      <c r="A34" s="12" t="s">
        <v>349</v>
      </c>
      <c r="B34" s="12" t="s">
        <v>350</v>
      </c>
      <c r="C34" s="12"/>
      <c r="D34" s="12"/>
      <c r="E34" s="12"/>
      <c r="F34" s="12"/>
      <c r="G34" s="12"/>
      <c r="H34" s="12"/>
    </row>
    <row r="35" spans="1:8" ht="30" customHeight="1" x14ac:dyDescent="0.2">
      <c r="A35" s="13" t="s">
        <v>349</v>
      </c>
      <c r="B35" s="13" t="s">
        <v>350</v>
      </c>
      <c r="C35" s="14" t="s">
        <v>351</v>
      </c>
      <c r="D35" s="15" t="s">
        <v>352</v>
      </c>
      <c r="E35" s="16">
        <v>2</v>
      </c>
      <c r="F35" s="17" t="s">
        <v>140</v>
      </c>
      <c r="G35" s="15"/>
      <c r="H35" s="15"/>
    </row>
    <row r="36" spans="1:8" ht="30" customHeight="1" x14ac:dyDescent="0.2">
      <c r="A36" s="18" t="s">
        <v>349</v>
      </c>
      <c r="B36" s="18" t="s">
        <v>350</v>
      </c>
      <c r="C36" s="19" t="s">
        <v>353</v>
      </c>
      <c r="D36" s="20" t="s">
        <v>354</v>
      </c>
      <c r="E36" s="16">
        <v>2</v>
      </c>
      <c r="F36" s="17" t="s">
        <v>140</v>
      </c>
      <c r="G36" s="20"/>
      <c r="H36" s="20"/>
    </row>
    <row r="37" spans="1:8" ht="30" customHeight="1" x14ac:dyDescent="0.2">
      <c r="A37" s="13" t="s">
        <v>349</v>
      </c>
      <c r="B37" s="13" t="s">
        <v>350</v>
      </c>
      <c r="C37" s="14" t="s">
        <v>355</v>
      </c>
      <c r="D37" s="15" t="s">
        <v>356</v>
      </c>
      <c r="E37" s="22">
        <v>3</v>
      </c>
      <c r="F37" s="17" t="s">
        <v>140</v>
      </c>
      <c r="G37" s="15"/>
      <c r="H37" s="15"/>
    </row>
    <row r="38" spans="1:8" ht="30" customHeight="1" x14ac:dyDescent="0.2">
      <c r="A38" s="18" t="s">
        <v>349</v>
      </c>
      <c r="B38" s="18" t="s">
        <v>350</v>
      </c>
      <c r="C38" s="19" t="s">
        <v>357</v>
      </c>
      <c r="D38" s="20" t="s">
        <v>358</v>
      </c>
      <c r="E38" s="22">
        <v>3</v>
      </c>
      <c r="F38" s="17" t="s">
        <v>140</v>
      </c>
      <c r="G38" s="20"/>
      <c r="H38" s="20"/>
    </row>
    <row r="39" spans="1:8" ht="30" customHeight="1" x14ac:dyDescent="0.2">
      <c r="A39" s="13" t="s">
        <v>349</v>
      </c>
      <c r="B39" s="13" t="s">
        <v>350</v>
      </c>
      <c r="C39" s="14" t="s">
        <v>359</v>
      </c>
      <c r="D39" s="15" t="s">
        <v>360</v>
      </c>
      <c r="E39" s="22">
        <v>3</v>
      </c>
      <c r="F39" s="17" t="s">
        <v>140</v>
      </c>
      <c r="G39" s="15"/>
      <c r="H39" s="15"/>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11" activePane="bottomLeft" state="frozen"/>
      <selection pane="bottomLeft" activeCell="F7" sqref="F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361</v>
      </c>
      <c r="B2" s="12" t="s">
        <v>362</v>
      </c>
      <c r="C2" s="12"/>
      <c r="D2" s="12"/>
      <c r="E2" s="12"/>
      <c r="F2" s="12"/>
      <c r="G2" s="12"/>
      <c r="H2" s="12"/>
    </row>
    <row r="3" spans="1:8" ht="30" customHeight="1" x14ac:dyDescent="0.2">
      <c r="A3" s="13" t="s">
        <v>361</v>
      </c>
      <c r="B3" s="13" t="s">
        <v>362</v>
      </c>
      <c r="C3" s="14" t="s">
        <v>363</v>
      </c>
      <c r="D3" s="15" t="s">
        <v>364</v>
      </c>
      <c r="E3" s="21">
        <v>1</v>
      </c>
      <c r="F3" s="17" t="s">
        <v>18</v>
      </c>
      <c r="G3" s="15" t="s">
        <v>365</v>
      </c>
      <c r="H3" s="15" t="s">
        <v>366</v>
      </c>
    </row>
    <row r="4" spans="1:8" ht="30" customHeight="1" x14ac:dyDescent="0.2">
      <c r="A4" s="18" t="s">
        <v>361</v>
      </c>
      <c r="B4" s="18" t="s">
        <v>362</v>
      </c>
      <c r="C4" s="19" t="s">
        <v>367</v>
      </c>
      <c r="D4" s="20" t="s">
        <v>368</v>
      </c>
      <c r="E4" s="16">
        <v>2</v>
      </c>
      <c r="F4" s="17" t="s">
        <v>140</v>
      </c>
      <c r="G4" s="20"/>
      <c r="H4" s="20"/>
    </row>
    <row r="5" spans="1:8" ht="30" customHeight="1" x14ac:dyDescent="0.2">
      <c r="A5" s="13" t="s">
        <v>361</v>
      </c>
      <c r="B5" s="13" t="s">
        <v>362</v>
      </c>
      <c r="C5" s="14" t="s">
        <v>369</v>
      </c>
      <c r="D5" s="15" t="s">
        <v>370</v>
      </c>
      <c r="E5" s="16">
        <v>2</v>
      </c>
      <c r="F5" s="17" t="s">
        <v>18</v>
      </c>
      <c r="G5" s="15" t="s">
        <v>371</v>
      </c>
      <c r="H5" s="15" t="s">
        <v>372</v>
      </c>
    </row>
    <row r="6" spans="1:8" ht="30" customHeight="1" x14ac:dyDescent="0.2">
      <c r="A6" s="18" t="s">
        <v>361</v>
      </c>
      <c r="B6" s="18" t="s">
        <v>362</v>
      </c>
      <c r="C6" s="19" t="s">
        <v>373</v>
      </c>
      <c r="D6" s="20" t="s">
        <v>374</v>
      </c>
      <c r="E6" s="22">
        <v>3</v>
      </c>
      <c r="F6" s="17" t="s">
        <v>18</v>
      </c>
      <c r="G6" s="20" t="s">
        <v>375</v>
      </c>
      <c r="H6" s="20" t="s">
        <v>376</v>
      </c>
    </row>
    <row r="7" spans="1:8" ht="30" customHeight="1" x14ac:dyDescent="0.2">
      <c r="A7" s="13" t="s">
        <v>361</v>
      </c>
      <c r="B7" s="13" t="s">
        <v>362</v>
      </c>
      <c r="C7" s="14" t="s">
        <v>377</v>
      </c>
      <c r="D7" s="15" t="s">
        <v>378</v>
      </c>
      <c r="E7" s="22">
        <v>3</v>
      </c>
      <c r="F7" s="17" t="s">
        <v>18</v>
      </c>
      <c r="G7" s="15" t="s">
        <v>379</v>
      </c>
      <c r="H7" s="15"/>
    </row>
    <row r="8" spans="1:8" ht="18" customHeight="1" x14ac:dyDescent="0.2">
      <c r="A8" s="12" t="s">
        <v>380</v>
      </c>
      <c r="B8" s="12" t="s">
        <v>381</v>
      </c>
      <c r="C8" s="12"/>
      <c r="D8" s="12"/>
      <c r="E8" s="12"/>
      <c r="F8" s="12"/>
      <c r="G8" s="12"/>
      <c r="H8" s="12"/>
    </row>
    <row r="9" spans="1:8" ht="30" customHeight="1" x14ac:dyDescent="0.2">
      <c r="A9" s="13" t="s">
        <v>380</v>
      </c>
      <c r="B9" s="13" t="s">
        <v>381</v>
      </c>
      <c r="C9" s="14" t="s">
        <v>382</v>
      </c>
      <c r="D9" s="15" t="s">
        <v>383</v>
      </c>
      <c r="E9" s="16">
        <v>2</v>
      </c>
      <c r="F9" s="17" t="s">
        <v>18</v>
      </c>
      <c r="G9" s="15" t="s">
        <v>384</v>
      </c>
      <c r="H9" s="15" t="s">
        <v>385</v>
      </c>
    </row>
    <row r="10" spans="1:8" ht="30" customHeight="1" x14ac:dyDescent="0.2">
      <c r="A10" s="18" t="s">
        <v>380</v>
      </c>
      <c r="B10" s="18" t="s">
        <v>381</v>
      </c>
      <c r="C10" s="19" t="s">
        <v>386</v>
      </c>
      <c r="D10" s="20" t="s">
        <v>387</v>
      </c>
      <c r="E10" s="22">
        <v>3</v>
      </c>
      <c r="F10" s="17" t="s">
        <v>18</v>
      </c>
      <c r="G10" s="20" t="s">
        <v>388</v>
      </c>
      <c r="H10" s="20" t="s">
        <v>389</v>
      </c>
    </row>
    <row r="11" spans="1:8" ht="30" customHeight="1" x14ac:dyDescent="0.2">
      <c r="A11" s="13" t="s">
        <v>380</v>
      </c>
      <c r="B11" s="13" t="s">
        <v>381</v>
      </c>
      <c r="C11" s="14" t="s">
        <v>390</v>
      </c>
      <c r="D11" s="15" t="s">
        <v>391</v>
      </c>
      <c r="E11" s="22">
        <v>3</v>
      </c>
      <c r="F11" s="17" t="s">
        <v>18</v>
      </c>
      <c r="G11" s="15" t="s">
        <v>392</v>
      </c>
      <c r="H11" s="15" t="s">
        <v>393</v>
      </c>
    </row>
    <row r="12" spans="1:8" ht="30" customHeight="1" x14ac:dyDescent="0.2">
      <c r="A12" s="18" t="s">
        <v>380</v>
      </c>
      <c r="B12" s="18" t="s">
        <v>381</v>
      </c>
      <c r="C12" s="19" t="s">
        <v>394</v>
      </c>
      <c r="D12" s="20" t="s">
        <v>395</v>
      </c>
      <c r="E12" s="22">
        <v>3</v>
      </c>
      <c r="F12" s="17" t="s">
        <v>18</v>
      </c>
      <c r="G12" s="20" t="s">
        <v>396</v>
      </c>
      <c r="H12" s="20" t="s">
        <v>397</v>
      </c>
    </row>
    <row r="13" spans="1:8" ht="30" customHeight="1" x14ac:dyDescent="0.2">
      <c r="A13" s="13" t="s">
        <v>380</v>
      </c>
      <c r="B13" s="13" t="s">
        <v>381</v>
      </c>
      <c r="C13" s="14" t="s">
        <v>398</v>
      </c>
      <c r="D13" s="15" t="s">
        <v>399</v>
      </c>
      <c r="E13" s="22">
        <v>3</v>
      </c>
      <c r="F13" s="17" t="s">
        <v>18</v>
      </c>
      <c r="G13" s="27" t="s">
        <v>400</v>
      </c>
      <c r="H13" s="15" t="s">
        <v>40</v>
      </c>
    </row>
    <row r="14" spans="1:8" ht="18" customHeight="1" x14ac:dyDescent="0.2">
      <c r="A14" s="12" t="s">
        <v>401</v>
      </c>
      <c r="B14" s="12" t="s">
        <v>402</v>
      </c>
      <c r="C14" s="12"/>
      <c r="D14" s="12"/>
      <c r="E14" s="12"/>
      <c r="F14" s="12"/>
      <c r="G14" s="12"/>
      <c r="H14" s="12"/>
    </row>
    <row r="15" spans="1:8" ht="30" customHeight="1" x14ac:dyDescent="0.2">
      <c r="A15" s="13" t="s">
        <v>401</v>
      </c>
      <c r="B15" s="13" t="s">
        <v>402</v>
      </c>
      <c r="C15" s="14" t="s">
        <v>403</v>
      </c>
      <c r="D15" s="15" t="s">
        <v>404</v>
      </c>
      <c r="E15" s="16">
        <v>2</v>
      </c>
      <c r="F15" s="17" t="s">
        <v>140</v>
      </c>
      <c r="G15" s="15"/>
      <c r="H15" s="15"/>
    </row>
    <row r="16" spans="1:8" ht="30" customHeight="1" x14ac:dyDescent="0.2">
      <c r="A16" s="18" t="s">
        <v>401</v>
      </c>
      <c r="B16" s="18" t="s">
        <v>402</v>
      </c>
      <c r="C16" s="19" t="s">
        <v>405</v>
      </c>
      <c r="D16" s="20" t="s">
        <v>406</v>
      </c>
      <c r="E16" s="16">
        <v>2</v>
      </c>
      <c r="F16" s="17" t="s">
        <v>140</v>
      </c>
      <c r="G16" s="20"/>
      <c r="H16" s="20"/>
    </row>
    <row r="17" spans="1:8" ht="18" customHeight="1" x14ac:dyDescent="0.2">
      <c r="A17" s="12" t="s">
        <v>407</v>
      </c>
      <c r="B17" s="12" t="s">
        <v>408</v>
      </c>
      <c r="C17" s="12"/>
      <c r="D17" s="12"/>
      <c r="E17" s="12"/>
      <c r="F17" s="12"/>
      <c r="G17" s="12"/>
      <c r="H17" s="12"/>
    </row>
    <row r="18" spans="1:8" ht="30" customHeight="1" x14ac:dyDescent="0.2">
      <c r="A18" s="13" t="s">
        <v>407</v>
      </c>
      <c r="B18" s="13" t="s">
        <v>408</v>
      </c>
      <c r="C18" s="14" t="s">
        <v>409</v>
      </c>
      <c r="D18" s="15" t="s">
        <v>410</v>
      </c>
      <c r="E18" s="21">
        <v>1</v>
      </c>
      <c r="F18" s="17" t="s">
        <v>140</v>
      </c>
      <c r="G18" s="15"/>
      <c r="H18" s="15"/>
    </row>
    <row r="19" spans="1:8" ht="30" customHeight="1" x14ac:dyDescent="0.2">
      <c r="A19" s="18" t="s">
        <v>407</v>
      </c>
      <c r="B19" s="18" t="s">
        <v>408</v>
      </c>
      <c r="C19" s="19" t="s">
        <v>411</v>
      </c>
      <c r="D19" s="20" t="s">
        <v>412</v>
      </c>
      <c r="E19" s="16">
        <v>2</v>
      </c>
      <c r="F19" s="17" t="s">
        <v>140</v>
      </c>
      <c r="G19" s="20"/>
      <c r="H19" s="20"/>
    </row>
    <row r="20" spans="1:8" ht="30" customHeight="1" x14ac:dyDescent="0.2">
      <c r="A20" s="13" t="s">
        <v>407</v>
      </c>
      <c r="B20" s="13" t="s">
        <v>408</v>
      </c>
      <c r="C20" s="14" t="s">
        <v>413</v>
      </c>
      <c r="D20" s="15" t="s">
        <v>414</v>
      </c>
      <c r="E20" s="16">
        <v>2</v>
      </c>
      <c r="F20" s="17" t="s">
        <v>140</v>
      </c>
      <c r="G20" s="15"/>
      <c r="H20" s="15"/>
    </row>
    <row r="21" spans="1:8" ht="30" customHeight="1" x14ac:dyDescent="0.2">
      <c r="A21" s="18" t="s">
        <v>407</v>
      </c>
      <c r="B21" s="18" t="s">
        <v>408</v>
      </c>
      <c r="C21" s="19" t="s">
        <v>415</v>
      </c>
      <c r="D21" s="20" t="s">
        <v>416</v>
      </c>
      <c r="E21" s="16">
        <v>2</v>
      </c>
      <c r="F21" s="17" t="s">
        <v>140</v>
      </c>
      <c r="G21" s="20"/>
      <c r="H21" s="20"/>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85" zoomScaleNormal="85" workbookViewId="0">
      <pane ySplit="1" topLeftCell="A9" activePane="bottomLeft" state="frozen"/>
      <selection pane="bottomLeft" activeCell="F18" sqref="F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417</v>
      </c>
      <c r="B2" s="12" t="s">
        <v>418</v>
      </c>
      <c r="C2" s="12"/>
      <c r="D2" s="12"/>
      <c r="E2" s="12"/>
      <c r="F2" s="12"/>
      <c r="G2" s="12"/>
      <c r="H2" s="12"/>
    </row>
    <row r="3" spans="1:8" ht="30" customHeight="1" x14ac:dyDescent="0.2">
      <c r="A3" s="13" t="s">
        <v>417</v>
      </c>
      <c r="B3" s="13" t="s">
        <v>418</v>
      </c>
      <c r="C3" s="14" t="s">
        <v>419</v>
      </c>
      <c r="D3" s="15" t="s">
        <v>420</v>
      </c>
      <c r="E3" s="16">
        <v>2</v>
      </c>
      <c r="F3" s="17" t="s">
        <v>18</v>
      </c>
      <c r="G3" s="15" t="s">
        <v>421</v>
      </c>
      <c r="H3" s="15" t="s">
        <v>422</v>
      </c>
    </row>
    <row r="4" spans="1:8" ht="18" customHeight="1" x14ac:dyDescent="0.2">
      <c r="A4" s="12" t="s">
        <v>423</v>
      </c>
      <c r="B4" s="12" t="s">
        <v>424</v>
      </c>
      <c r="C4" s="12"/>
      <c r="D4" s="12"/>
      <c r="E4" s="12"/>
      <c r="F4" s="12"/>
      <c r="G4" s="12"/>
      <c r="H4" s="12"/>
    </row>
    <row r="5" spans="1:8" ht="30" customHeight="1" x14ac:dyDescent="0.2">
      <c r="A5" s="13" t="s">
        <v>423</v>
      </c>
      <c r="B5" s="13" t="s">
        <v>424</v>
      </c>
      <c r="C5" s="14" t="s">
        <v>425</v>
      </c>
      <c r="D5" s="15" t="s">
        <v>426</v>
      </c>
      <c r="E5" s="21">
        <v>1</v>
      </c>
      <c r="F5" s="17" t="s">
        <v>18</v>
      </c>
      <c r="G5" s="15" t="s">
        <v>427</v>
      </c>
      <c r="H5" s="15" t="s">
        <v>428</v>
      </c>
    </row>
    <row r="6" spans="1:8" ht="30" customHeight="1" x14ac:dyDescent="0.2">
      <c r="A6" s="18" t="s">
        <v>423</v>
      </c>
      <c r="B6" s="18" t="s">
        <v>424</v>
      </c>
      <c r="C6" s="19" t="s">
        <v>429</v>
      </c>
      <c r="D6" s="20" t="s">
        <v>430</v>
      </c>
      <c r="E6" s="21">
        <v>1</v>
      </c>
      <c r="F6" s="17" t="s">
        <v>18</v>
      </c>
      <c r="G6" t="s">
        <v>431</v>
      </c>
      <c r="H6" s="20" t="s">
        <v>432</v>
      </c>
    </row>
    <row r="7" spans="1:8" ht="30" customHeight="1" x14ac:dyDescent="0.2">
      <c r="A7" s="13" t="s">
        <v>423</v>
      </c>
      <c r="B7" s="13" t="s">
        <v>424</v>
      </c>
      <c r="C7" s="14" t="s">
        <v>433</v>
      </c>
      <c r="D7" s="15" t="s">
        <v>434</v>
      </c>
      <c r="E7" s="16">
        <v>2</v>
      </c>
      <c r="F7" s="17" t="s">
        <v>18</v>
      </c>
      <c r="G7" t="s">
        <v>435</v>
      </c>
      <c r="H7" s="15" t="s">
        <v>436</v>
      </c>
    </row>
    <row r="8" spans="1:8" ht="30" customHeight="1" x14ac:dyDescent="0.2">
      <c r="A8" s="18" t="s">
        <v>423</v>
      </c>
      <c r="B8" s="18" t="s">
        <v>424</v>
      </c>
      <c r="C8" s="19" t="s">
        <v>437</v>
      </c>
      <c r="D8" s="20" t="s">
        <v>438</v>
      </c>
      <c r="E8" s="22">
        <v>3</v>
      </c>
      <c r="F8" s="17" t="s">
        <v>18</v>
      </c>
      <c r="G8" s="20" t="s">
        <v>439</v>
      </c>
      <c r="H8" s="20" t="s">
        <v>440</v>
      </c>
    </row>
    <row r="9" spans="1:8" ht="30" customHeight="1" x14ac:dyDescent="0.2">
      <c r="A9" s="13" t="s">
        <v>423</v>
      </c>
      <c r="B9" s="13" t="s">
        <v>424</v>
      </c>
      <c r="C9" s="14" t="s">
        <v>441</v>
      </c>
      <c r="D9" s="15" t="s">
        <v>442</v>
      </c>
      <c r="E9" s="22">
        <v>3</v>
      </c>
      <c r="F9" s="17" t="s">
        <v>18</v>
      </c>
      <c r="G9" t="s">
        <v>443</v>
      </c>
      <c r="H9" s="15" t="s">
        <v>444</v>
      </c>
    </row>
    <row r="10" spans="1:8" ht="30" customHeight="1" x14ac:dyDescent="0.2">
      <c r="A10" s="18" t="s">
        <v>423</v>
      </c>
      <c r="B10" s="18" t="s">
        <v>424</v>
      </c>
      <c r="C10" s="19" t="s">
        <v>445</v>
      </c>
      <c r="D10" s="20" t="s">
        <v>446</v>
      </c>
      <c r="E10" s="22">
        <v>3</v>
      </c>
      <c r="F10" s="17" t="s">
        <v>140</v>
      </c>
      <c r="H10" s="20"/>
    </row>
    <row r="11" spans="1:8" ht="18" customHeight="1" x14ac:dyDescent="0.2">
      <c r="A11" s="12" t="s">
        <v>447</v>
      </c>
      <c r="B11" s="12" t="s">
        <v>448</v>
      </c>
      <c r="C11" s="12"/>
      <c r="D11" s="12"/>
      <c r="E11" s="12"/>
      <c r="F11" s="12"/>
      <c r="G11" s="12"/>
      <c r="H11" s="12"/>
    </row>
    <row r="12" spans="1:8" ht="30" customHeight="1" x14ac:dyDescent="0.2">
      <c r="A12" s="13" t="s">
        <v>447</v>
      </c>
      <c r="B12" s="13" t="s">
        <v>448</v>
      </c>
      <c r="C12" s="14" t="s">
        <v>449</v>
      </c>
      <c r="D12" s="15" t="s">
        <v>450</v>
      </c>
      <c r="E12" s="21">
        <v>1</v>
      </c>
      <c r="F12" s="17" t="s">
        <v>18</v>
      </c>
      <c r="G12" t="s">
        <v>451</v>
      </c>
      <c r="H12" s="15" t="s">
        <v>452</v>
      </c>
    </row>
    <row r="13" spans="1:8" ht="30" customHeight="1" x14ac:dyDescent="0.2">
      <c r="A13" s="18" t="s">
        <v>447</v>
      </c>
      <c r="B13" s="18" t="s">
        <v>448</v>
      </c>
      <c r="C13" s="19" t="s">
        <v>453</v>
      </c>
      <c r="D13" s="20" t="s">
        <v>454</v>
      </c>
      <c r="E13" s="21">
        <v>1</v>
      </c>
      <c r="F13" s="17" t="s">
        <v>18</v>
      </c>
      <c r="G13" t="s">
        <v>455</v>
      </c>
      <c r="H13" s="20" t="s">
        <v>456</v>
      </c>
    </row>
    <row r="14" spans="1:8" ht="30" customHeight="1" x14ac:dyDescent="0.2">
      <c r="A14" s="13" t="s">
        <v>447</v>
      </c>
      <c r="B14" s="13" t="s">
        <v>448</v>
      </c>
      <c r="C14" s="14" t="s">
        <v>457</v>
      </c>
      <c r="D14" s="15" t="s">
        <v>458</v>
      </c>
      <c r="E14" s="22">
        <v>3</v>
      </c>
      <c r="F14" s="17" t="s">
        <v>18</v>
      </c>
      <c r="G14" t="s">
        <v>459</v>
      </c>
      <c r="H14" s="15" t="s">
        <v>460</v>
      </c>
    </row>
    <row r="15" spans="1:8" ht="18" customHeight="1" x14ac:dyDescent="0.2">
      <c r="A15" s="12" t="s">
        <v>461</v>
      </c>
      <c r="B15" s="12" t="s">
        <v>462</v>
      </c>
      <c r="C15" s="12"/>
      <c r="D15" s="12"/>
      <c r="E15" s="12"/>
      <c r="F15" s="12"/>
      <c r="G15" s="12"/>
      <c r="H15" s="12"/>
    </row>
    <row r="16" spans="1:8" ht="30" customHeight="1" x14ac:dyDescent="0.2">
      <c r="A16" s="13" t="s">
        <v>461</v>
      </c>
      <c r="B16" s="13" t="s">
        <v>462</v>
      </c>
      <c r="C16" s="14" t="s">
        <v>463</v>
      </c>
      <c r="D16" s="15" t="s">
        <v>464</v>
      </c>
      <c r="E16" s="16">
        <v>2</v>
      </c>
      <c r="F16" s="17" t="s">
        <v>18</v>
      </c>
      <c r="G16" t="s">
        <v>465</v>
      </c>
      <c r="H16" s="15" t="s">
        <v>466</v>
      </c>
    </row>
    <row r="17" spans="1:8" ht="30" customHeight="1" x14ac:dyDescent="0.2">
      <c r="A17" s="18" t="s">
        <v>461</v>
      </c>
      <c r="B17" s="18" t="s">
        <v>462</v>
      </c>
      <c r="C17" s="19" t="s">
        <v>467</v>
      </c>
      <c r="D17" s="20" t="s">
        <v>468</v>
      </c>
      <c r="E17" s="16">
        <v>2</v>
      </c>
      <c r="F17" s="17" t="s">
        <v>18</v>
      </c>
      <c r="G17" t="s">
        <v>469</v>
      </c>
      <c r="H17" s="20" t="s">
        <v>466</v>
      </c>
    </row>
    <row r="18" spans="1:8" ht="30" customHeight="1" x14ac:dyDescent="0.2">
      <c r="A18" s="13" t="s">
        <v>461</v>
      </c>
      <c r="B18" s="13" t="s">
        <v>462</v>
      </c>
      <c r="C18" s="14" t="s">
        <v>470</v>
      </c>
      <c r="D18" s="15" t="s">
        <v>471</v>
      </c>
      <c r="E18" s="16">
        <v>2</v>
      </c>
      <c r="F18" s="17" t="s">
        <v>18</v>
      </c>
      <c r="G18" t="s">
        <v>472</v>
      </c>
      <c r="H18" s="15"/>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85" zoomScaleNormal="85" workbookViewId="0">
      <pane ySplit="1" topLeftCell="A2" activePane="bottomLeft" state="frozen"/>
      <selection pane="bottomLeft" activeCell="F43" sqref="F4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473</v>
      </c>
      <c r="B2" s="12" t="s">
        <v>474</v>
      </c>
      <c r="C2" s="12"/>
      <c r="D2" s="12"/>
      <c r="E2" s="12"/>
      <c r="F2" s="12"/>
      <c r="G2" s="12"/>
      <c r="H2" s="12"/>
    </row>
    <row r="3" spans="1:8" ht="30" customHeight="1" x14ac:dyDescent="0.2">
      <c r="A3" s="13" t="s">
        <v>473</v>
      </c>
      <c r="B3" s="13" t="s">
        <v>474</v>
      </c>
      <c r="C3" s="14" t="s">
        <v>475</v>
      </c>
      <c r="D3" s="15" t="s">
        <v>476</v>
      </c>
      <c r="E3" s="21">
        <v>1</v>
      </c>
      <c r="F3" s="17" t="s">
        <v>18</v>
      </c>
      <c r="G3" t="s">
        <v>477</v>
      </c>
      <c r="H3" s="15" t="s">
        <v>478</v>
      </c>
    </row>
    <row r="4" spans="1:8" ht="30" customHeight="1" x14ac:dyDescent="0.2">
      <c r="A4" s="18" t="s">
        <v>473</v>
      </c>
      <c r="B4" s="18" t="s">
        <v>474</v>
      </c>
      <c r="C4" s="19" t="s">
        <v>479</v>
      </c>
      <c r="D4" s="20" t="s">
        <v>480</v>
      </c>
      <c r="E4" s="16">
        <v>2</v>
      </c>
      <c r="F4" s="17" t="s">
        <v>18</v>
      </c>
      <c r="G4" t="s">
        <v>481</v>
      </c>
      <c r="H4" s="20"/>
    </row>
    <row r="5" spans="1:8" ht="30" customHeight="1" x14ac:dyDescent="0.2">
      <c r="A5" s="13" t="s">
        <v>473</v>
      </c>
      <c r="B5" s="13" t="s">
        <v>474</v>
      </c>
      <c r="C5" s="14" t="s">
        <v>482</v>
      </c>
      <c r="D5" s="15" t="s">
        <v>483</v>
      </c>
      <c r="E5" s="16">
        <v>2</v>
      </c>
      <c r="F5" s="17" t="s">
        <v>18</v>
      </c>
      <c r="G5" t="s">
        <v>484</v>
      </c>
      <c r="H5" s="15" t="s">
        <v>485</v>
      </c>
    </row>
    <row r="6" spans="1:8" ht="18" customHeight="1" x14ac:dyDescent="0.2">
      <c r="A6" s="12" t="s">
        <v>486</v>
      </c>
      <c r="B6" s="12" t="s">
        <v>487</v>
      </c>
      <c r="C6" s="12"/>
      <c r="D6" s="12"/>
      <c r="E6" s="12"/>
      <c r="F6" s="12"/>
      <c r="G6" s="12"/>
      <c r="H6" s="12"/>
    </row>
    <row r="7" spans="1:8" ht="30" customHeight="1" x14ac:dyDescent="0.2">
      <c r="A7" s="13" t="s">
        <v>486</v>
      </c>
      <c r="B7" s="13" t="s">
        <v>487</v>
      </c>
      <c r="C7" s="14" t="s">
        <v>488</v>
      </c>
      <c r="D7" s="15" t="s">
        <v>489</v>
      </c>
      <c r="E7" s="21">
        <v>1</v>
      </c>
      <c r="F7" s="17" t="s">
        <v>18</v>
      </c>
      <c r="G7" t="s">
        <v>490</v>
      </c>
      <c r="H7" s="15" t="s">
        <v>491</v>
      </c>
    </row>
    <row r="8" spans="1:8" ht="30" customHeight="1" x14ac:dyDescent="0.2">
      <c r="A8" s="18" t="s">
        <v>486</v>
      </c>
      <c r="B8" s="18" t="s">
        <v>487</v>
      </c>
      <c r="C8" s="19" t="s">
        <v>492</v>
      </c>
      <c r="D8" s="20" t="s">
        <v>493</v>
      </c>
      <c r="E8" s="21">
        <v>1</v>
      </c>
      <c r="F8" s="17" t="s">
        <v>18</v>
      </c>
      <c r="G8" t="s">
        <v>494</v>
      </c>
      <c r="H8" s="20"/>
    </row>
    <row r="9" spans="1:8" ht="30" customHeight="1" x14ac:dyDescent="0.2">
      <c r="A9" s="13" t="s">
        <v>486</v>
      </c>
      <c r="B9" s="13" t="s">
        <v>487</v>
      </c>
      <c r="C9" s="14" t="s">
        <v>495</v>
      </c>
      <c r="D9" s="15" t="s">
        <v>496</v>
      </c>
      <c r="E9" s="21">
        <v>1</v>
      </c>
      <c r="F9" s="17" t="s">
        <v>18</v>
      </c>
      <c r="G9" t="s">
        <v>497</v>
      </c>
      <c r="H9" s="15"/>
    </row>
    <row r="10" spans="1:8" ht="30" customHeight="1" x14ac:dyDescent="0.2">
      <c r="A10" s="18" t="s">
        <v>486</v>
      </c>
      <c r="B10" s="18" t="s">
        <v>487</v>
      </c>
      <c r="C10" s="19" t="s">
        <v>498</v>
      </c>
      <c r="D10" s="20" t="s">
        <v>499</v>
      </c>
      <c r="E10" s="21">
        <v>1</v>
      </c>
      <c r="F10" s="17" t="s">
        <v>140</v>
      </c>
      <c r="G10" s="20"/>
      <c r="H10" s="20"/>
    </row>
    <row r="11" spans="1:8" ht="30" customHeight="1" x14ac:dyDescent="0.2">
      <c r="A11" s="13" t="s">
        <v>486</v>
      </c>
      <c r="B11" s="13" t="s">
        <v>487</v>
      </c>
      <c r="C11" s="14" t="s">
        <v>500</v>
      </c>
      <c r="D11" s="15" t="s">
        <v>501</v>
      </c>
      <c r="E11" s="21">
        <v>1</v>
      </c>
      <c r="F11" s="17" t="s">
        <v>18</v>
      </c>
      <c r="G11" t="s">
        <v>502</v>
      </c>
      <c r="H11" s="15" t="s">
        <v>503</v>
      </c>
    </row>
    <row r="12" spans="1:8" ht="30" customHeight="1" x14ac:dyDescent="0.2">
      <c r="A12" s="18" t="s">
        <v>486</v>
      </c>
      <c r="B12" s="18" t="s">
        <v>487</v>
      </c>
      <c r="C12" s="19" t="s">
        <v>504</v>
      </c>
      <c r="D12" s="20" t="s">
        <v>505</v>
      </c>
      <c r="E12" s="21">
        <v>1</v>
      </c>
      <c r="F12" s="17" t="s">
        <v>18</v>
      </c>
      <c r="G12" t="s">
        <v>506</v>
      </c>
      <c r="H12" s="20"/>
    </row>
    <row r="13" spans="1:8" ht="30" customHeight="1" x14ac:dyDescent="0.2">
      <c r="A13" s="13" t="s">
        <v>486</v>
      </c>
      <c r="B13" s="13" t="s">
        <v>487</v>
      </c>
      <c r="C13" s="14" t="s">
        <v>507</v>
      </c>
      <c r="D13" s="15" t="s">
        <v>508</v>
      </c>
      <c r="E13" s="21">
        <v>1</v>
      </c>
      <c r="F13" s="17" t="s">
        <v>18</v>
      </c>
      <c r="G13" t="s">
        <v>509</v>
      </c>
      <c r="H13" s="15"/>
    </row>
    <row r="14" spans="1:8" ht="30" customHeight="1" x14ac:dyDescent="0.2">
      <c r="A14" s="18" t="s">
        <v>486</v>
      </c>
      <c r="B14" s="18" t="s">
        <v>487</v>
      </c>
      <c r="C14" s="19" t="s">
        <v>510</v>
      </c>
      <c r="D14" s="20" t="s">
        <v>511</v>
      </c>
      <c r="E14" s="21">
        <v>1</v>
      </c>
      <c r="F14" s="17" t="s">
        <v>18</v>
      </c>
      <c r="G14" t="s">
        <v>512</v>
      </c>
      <c r="H14" s="20" t="s">
        <v>513</v>
      </c>
    </row>
    <row r="15" spans="1:8" ht="30" customHeight="1" x14ac:dyDescent="0.2">
      <c r="A15" s="13" t="s">
        <v>486</v>
      </c>
      <c r="B15" s="13" t="s">
        <v>487</v>
      </c>
      <c r="C15" s="14" t="s">
        <v>514</v>
      </c>
      <c r="D15" s="15" t="s">
        <v>515</v>
      </c>
      <c r="E15" s="16">
        <v>2</v>
      </c>
      <c r="F15" s="17" t="s">
        <v>18</v>
      </c>
      <c r="G15" t="s">
        <v>516</v>
      </c>
      <c r="H15" s="15" t="s">
        <v>503</v>
      </c>
    </row>
    <row r="16" spans="1:8" ht="30" customHeight="1" x14ac:dyDescent="0.2">
      <c r="A16" s="18" t="s">
        <v>486</v>
      </c>
      <c r="B16" s="18" t="s">
        <v>487</v>
      </c>
      <c r="C16" s="19" t="s">
        <v>517</v>
      </c>
      <c r="D16" s="20" t="s">
        <v>518</v>
      </c>
      <c r="E16" s="16">
        <v>2</v>
      </c>
      <c r="F16" s="17" t="s">
        <v>18</v>
      </c>
      <c r="G16" t="s">
        <v>519</v>
      </c>
      <c r="H16" s="20" t="s">
        <v>520</v>
      </c>
    </row>
    <row r="17" spans="1:8" ht="30" customHeight="1" x14ac:dyDescent="0.2">
      <c r="A17" s="13" t="s">
        <v>486</v>
      </c>
      <c r="B17" s="13" t="s">
        <v>487</v>
      </c>
      <c r="C17" s="14" t="s">
        <v>521</v>
      </c>
      <c r="D17" s="15" t="s">
        <v>522</v>
      </c>
      <c r="E17" s="16">
        <v>2</v>
      </c>
      <c r="F17" s="17" t="s">
        <v>18</v>
      </c>
      <c r="G17" t="s">
        <v>523</v>
      </c>
      <c r="H17" s="15"/>
    </row>
    <row r="18" spans="1:8" ht="30" customHeight="1" x14ac:dyDescent="0.2">
      <c r="A18" s="18" t="s">
        <v>486</v>
      </c>
      <c r="B18" s="18" t="s">
        <v>487</v>
      </c>
      <c r="C18" s="19" t="s">
        <v>524</v>
      </c>
      <c r="D18" s="20" t="s">
        <v>525</v>
      </c>
      <c r="E18" s="16">
        <v>2</v>
      </c>
      <c r="F18" s="17" t="s">
        <v>140</v>
      </c>
      <c r="G18" s="20"/>
      <c r="H18" s="20"/>
    </row>
    <row r="19" spans="1:8" ht="18" customHeight="1" x14ac:dyDescent="0.2">
      <c r="A19" s="12" t="s">
        <v>526</v>
      </c>
      <c r="B19" s="12" t="s">
        <v>527</v>
      </c>
      <c r="C19" s="12"/>
      <c r="D19" s="12"/>
      <c r="E19" s="12"/>
      <c r="F19" s="12"/>
      <c r="G19" s="12"/>
      <c r="H19" s="12"/>
    </row>
    <row r="20" spans="1:8" ht="30" customHeight="1" x14ac:dyDescent="0.2">
      <c r="A20" s="13" t="s">
        <v>526</v>
      </c>
      <c r="B20" s="13" t="s">
        <v>527</v>
      </c>
      <c r="C20" s="14" t="s">
        <v>528</v>
      </c>
      <c r="D20" s="15" t="s">
        <v>529</v>
      </c>
      <c r="E20" s="21">
        <v>1</v>
      </c>
      <c r="F20" s="17" t="s">
        <v>18</v>
      </c>
      <c r="G20" t="s">
        <v>530</v>
      </c>
      <c r="H20" s="15" t="s">
        <v>531</v>
      </c>
    </row>
    <row r="21" spans="1:8" ht="30" customHeight="1" x14ac:dyDescent="0.2">
      <c r="A21" s="18" t="s">
        <v>526</v>
      </c>
      <c r="B21" s="18" t="s">
        <v>527</v>
      </c>
      <c r="C21" s="19" t="s">
        <v>532</v>
      </c>
      <c r="D21" s="20" t="s">
        <v>533</v>
      </c>
      <c r="E21" s="21">
        <v>1</v>
      </c>
      <c r="F21" s="17" t="s">
        <v>18</v>
      </c>
      <c r="G21" t="s">
        <v>534</v>
      </c>
      <c r="H21" s="20" t="s">
        <v>535</v>
      </c>
    </row>
    <row r="22" spans="1:8" ht="30" customHeight="1" x14ac:dyDescent="0.2">
      <c r="A22" s="13" t="s">
        <v>526</v>
      </c>
      <c r="B22" s="13" t="s">
        <v>527</v>
      </c>
      <c r="C22" s="14" t="s">
        <v>536</v>
      </c>
      <c r="D22" s="15" t="s">
        <v>537</v>
      </c>
      <c r="E22" s="16">
        <v>2</v>
      </c>
      <c r="F22" s="17" t="s">
        <v>18</v>
      </c>
      <c r="G22" t="s">
        <v>538</v>
      </c>
      <c r="H22" s="15"/>
    </row>
    <row r="23" spans="1:8" ht="30" customHeight="1" x14ac:dyDescent="0.2">
      <c r="A23" s="18" t="s">
        <v>526</v>
      </c>
      <c r="B23" s="18" t="s">
        <v>527</v>
      </c>
      <c r="C23" s="19" t="s">
        <v>539</v>
      </c>
      <c r="D23" s="20" t="s">
        <v>540</v>
      </c>
      <c r="E23" s="16">
        <v>2</v>
      </c>
      <c r="F23" s="17" t="s">
        <v>18</v>
      </c>
      <c r="G23" t="s">
        <v>541</v>
      </c>
      <c r="H23" s="20" t="s">
        <v>542</v>
      </c>
    </row>
    <row r="24" spans="1:8" ht="30" customHeight="1" x14ac:dyDescent="0.2">
      <c r="A24" s="13" t="s">
        <v>526</v>
      </c>
      <c r="B24" s="13" t="s">
        <v>527</v>
      </c>
      <c r="C24" s="14" t="s">
        <v>543</v>
      </c>
      <c r="D24" s="15" t="s">
        <v>544</v>
      </c>
      <c r="E24" s="22">
        <v>3</v>
      </c>
      <c r="F24" s="17" t="s">
        <v>18</v>
      </c>
      <c r="G24" t="s">
        <v>545</v>
      </c>
      <c r="H24" s="15"/>
    </row>
    <row r="25" spans="1:8" ht="30" customHeight="1" x14ac:dyDescent="0.2">
      <c r="A25" s="18" t="s">
        <v>526</v>
      </c>
      <c r="B25" s="18" t="s">
        <v>527</v>
      </c>
      <c r="C25" s="19" t="s">
        <v>546</v>
      </c>
      <c r="D25" s="20" t="s">
        <v>547</v>
      </c>
      <c r="E25" s="22">
        <v>3</v>
      </c>
      <c r="F25" s="17" t="s">
        <v>140</v>
      </c>
      <c r="G25" s="20"/>
      <c r="H25" s="20"/>
    </row>
    <row r="26" spans="1:8" ht="30" customHeight="1" x14ac:dyDescent="0.2">
      <c r="A26" s="13" t="s">
        <v>526</v>
      </c>
      <c r="B26" s="13" t="s">
        <v>527</v>
      </c>
      <c r="C26" s="14" t="s">
        <v>548</v>
      </c>
      <c r="D26" s="15" t="s">
        <v>549</v>
      </c>
      <c r="E26" s="22">
        <v>3</v>
      </c>
      <c r="F26" s="17" t="s">
        <v>18</v>
      </c>
      <c r="G26" t="s">
        <v>550</v>
      </c>
      <c r="H26" s="15"/>
    </row>
    <row r="27" spans="1:8" ht="30" customHeight="1" x14ac:dyDescent="0.2">
      <c r="A27" s="18" t="s">
        <v>526</v>
      </c>
      <c r="B27" s="18" t="s">
        <v>527</v>
      </c>
      <c r="C27" s="19" t="s">
        <v>551</v>
      </c>
      <c r="D27" s="20" t="s">
        <v>552</v>
      </c>
      <c r="E27" s="22">
        <v>3</v>
      </c>
      <c r="F27" s="17" t="s">
        <v>18</v>
      </c>
      <c r="G27" t="s">
        <v>553</v>
      </c>
      <c r="H27" s="20"/>
    </row>
    <row r="28" spans="1:8" ht="18" customHeight="1" x14ac:dyDescent="0.2">
      <c r="A28" s="12" t="s">
        <v>554</v>
      </c>
      <c r="B28" s="12" t="s">
        <v>555</v>
      </c>
      <c r="C28" s="12"/>
      <c r="D28" s="12"/>
      <c r="E28" s="12"/>
      <c r="F28" s="12"/>
      <c r="G28" s="12"/>
      <c r="H28" s="12"/>
    </row>
    <row r="29" spans="1:8" ht="30" customHeight="1" x14ac:dyDescent="0.2">
      <c r="A29" s="13" t="s">
        <v>554</v>
      </c>
      <c r="B29" s="13" t="s">
        <v>555</v>
      </c>
      <c r="C29" s="14" t="s">
        <v>556</v>
      </c>
      <c r="D29" s="15" t="s">
        <v>557</v>
      </c>
      <c r="E29" s="21">
        <v>1</v>
      </c>
      <c r="F29" s="17" t="s">
        <v>18</v>
      </c>
      <c r="G29" s="15" t="s">
        <v>558</v>
      </c>
      <c r="H29" s="15" t="s">
        <v>559</v>
      </c>
    </row>
    <row r="30" spans="1:8" ht="30" customHeight="1" x14ac:dyDescent="0.2">
      <c r="A30" s="18" t="s">
        <v>554</v>
      </c>
      <c r="B30" s="18" t="s">
        <v>555</v>
      </c>
      <c r="C30" s="19" t="s">
        <v>560</v>
      </c>
      <c r="D30" s="20" t="s">
        <v>561</v>
      </c>
      <c r="E30" s="21">
        <v>1</v>
      </c>
      <c r="F30" s="17" t="s">
        <v>18</v>
      </c>
      <c r="G30" t="s">
        <v>562</v>
      </c>
      <c r="H30" s="20" t="s">
        <v>563</v>
      </c>
    </row>
    <row r="31" spans="1:8" ht="30" customHeight="1" x14ac:dyDescent="0.2">
      <c r="A31" s="13" t="s">
        <v>554</v>
      </c>
      <c r="B31" s="13" t="s">
        <v>555</v>
      </c>
      <c r="C31" s="14" t="s">
        <v>564</v>
      </c>
      <c r="D31" s="15" t="s">
        <v>565</v>
      </c>
      <c r="E31" s="16">
        <v>2</v>
      </c>
      <c r="F31" s="17" t="s">
        <v>18</v>
      </c>
      <c r="G31" t="s">
        <v>566</v>
      </c>
      <c r="H31" s="15"/>
    </row>
    <row r="32" spans="1:8" ht="30" customHeight="1" x14ac:dyDescent="0.2">
      <c r="A32" s="18" t="s">
        <v>554</v>
      </c>
      <c r="B32" s="18" t="s">
        <v>555</v>
      </c>
      <c r="C32" s="19" t="s">
        <v>567</v>
      </c>
      <c r="D32" s="20" t="s">
        <v>568</v>
      </c>
      <c r="E32" s="16">
        <v>2</v>
      </c>
      <c r="F32" s="17" t="s">
        <v>140</v>
      </c>
      <c r="G32" s="20"/>
      <c r="H32" s="20"/>
    </row>
    <row r="33" spans="1:8" ht="30" customHeight="1" x14ac:dyDescent="0.2">
      <c r="A33" s="13" t="s">
        <v>554</v>
      </c>
      <c r="B33" s="13" t="s">
        <v>555</v>
      </c>
      <c r="C33" s="14" t="s">
        <v>569</v>
      </c>
      <c r="D33" s="15" t="s">
        <v>570</v>
      </c>
      <c r="E33" s="22">
        <v>3</v>
      </c>
      <c r="F33" s="17" t="s">
        <v>18</v>
      </c>
      <c r="G33" t="s">
        <v>571</v>
      </c>
      <c r="H33" s="15"/>
    </row>
    <row r="34" spans="1:8" ht="30" customHeight="1" x14ac:dyDescent="0.2">
      <c r="A34" s="18" t="s">
        <v>554</v>
      </c>
      <c r="B34" s="18" t="s">
        <v>555</v>
      </c>
      <c r="C34" s="19" t="s">
        <v>572</v>
      </c>
      <c r="D34" s="20" t="s">
        <v>573</v>
      </c>
      <c r="E34" s="22">
        <v>3</v>
      </c>
      <c r="F34" s="17" t="s">
        <v>18</v>
      </c>
      <c r="G34" t="s">
        <v>574</v>
      </c>
      <c r="H34" s="20"/>
    </row>
    <row r="35" spans="1:8" ht="18" customHeight="1" x14ac:dyDescent="0.2">
      <c r="A35" s="12" t="s">
        <v>575</v>
      </c>
      <c r="B35" s="12" t="s">
        <v>576</v>
      </c>
      <c r="C35" s="12"/>
      <c r="D35" s="12"/>
      <c r="E35" s="12"/>
      <c r="F35" s="12"/>
      <c r="G35" s="12"/>
      <c r="H35" s="12"/>
    </row>
    <row r="36" spans="1:8" ht="30" customHeight="1" x14ac:dyDescent="0.2">
      <c r="A36" s="13" t="s">
        <v>575</v>
      </c>
      <c r="B36" s="13" t="s">
        <v>576</v>
      </c>
      <c r="C36" s="14" t="s">
        <v>577</v>
      </c>
      <c r="D36" s="15" t="s">
        <v>578</v>
      </c>
      <c r="E36" s="16">
        <v>2</v>
      </c>
      <c r="F36" s="17" t="s">
        <v>18</v>
      </c>
      <c r="G36" t="s">
        <v>579</v>
      </c>
      <c r="H36" s="15"/>
    </row>
    <row r="37" spans="1:8" ht="30" customHeight="1" x14ac:dyDescent="0.2">
      <c r="A37" s="18" t="s">
        <v>575</v>
      </c>
      <c r="B37" s="18" t="s">
        <v>576</v>
      </c>
      <c r="C37" s="19" t="s">
        <v>580</v>
      </c>
      <c r="D37" s="20" t="s">
        <v>581</v>
      </c>
      <c r="E37" s="16">
        <v>2</v>
      </c>
      <c r="F37" s="17" t="s">
        <v>18</v>
      </c>
      <c r="G37" t="s">
        <v>582</v>
      </c>
      <c r="H37" s="20"/>
    </row>
    <row r="38" spans="1:8" ht="30" customHeight="1" x14ac:dyDescent="0.2">
      <c r="A38" s="13" t="s">
        <v>575</v>
      </c>
      <c r="B38" s="13" t="s">
        <v>576</v>
      </c>
      <c r="C38" s="14" t="s">
        <v>583</v>
      </c>
      <c r="D38" s="15" t="s">
        <v>584</v>
      </c>
      <c r="E38" s="16">
        <v>2</v>
      </c>
      <c r="F38" s="17" t="s">
        <v>140</v>
      </c>
      <c r="H38" s="15"/>
    </row>
    <row r="39" spans="1:8" ht="30" customHeight="1" x14ac:dyDescent="0.2">
      <c r="A39" s="18" t="s">
        <v>575</v>
      </c>
      <c r="B39" s="18" t="s">
        <v>576</v>
      </c>
      <c r="C39" s="19" t="s">
        <v>585</v>
      </c>
      <c r="D39" s="20" t="s">
        <v>586</v>
      </c>
      <c r="E39" s="16">
        <v>2</v>
      </c>
      <c r="F39" s="17" t="s">
        <v>140</v>
      </c>
      <c r="H39" s="20"/>
    </row>
    <row r="40" spans="1:8" ht="30" customHeight="1" x14ac:dyDescent="0.2">
      <c r="A40" s="13" t="s">
        <v>575</v>
      </c>
      <c r="B40" s="13" t="s">
        <v>576</v>
      </c>
      <c r="C40" s="14" t="s">
        <v>587</v>
      </c>
      <c r="D40" s="15" t="s">
        <v>588</v>
      </c>
      <c r="E40" s="16">
        <v>2</v>
      </c>
      <c r="F40" s="17" t="s">
        <v>18</v>
      </c>
      <c r="G40" t="s">
        <v>589</v>
      </c>
      <c r="H40" s="15"/>
    </row>
    <row r="41" spans="1:8" ht="30" customHeight="1" x14ac:dyDescent="0.2">
      <c r="A41" s="18" t="s">
        <v>575</v>
      </c>
      <c r="B41" s="18" t="s">
        <v>576</v>
      </c>
      <c r="C41" s="19" t="s">
        <v>590</v>
      </c>
      <c r="D41" s="20" t="s">
        <v>591</v>
      </c>
      <c r="E41" s="22">
        <v>3</v>
      </c>
      <c r="F41" s="17" t="s">
        <v>18</v>
      </c>
      <c r="G41" t="s">
        <v>592</v>
      </c>
      <c r="H41" s="20"/>
    </row>
    <row r="42" spans="1:8" ht="30" customHeight="1" x14ac:dyDescent="0.2">
      <c r="A42" s="13" t="s">
        <v>575</v>
      </c>
      <c r="B42" s="13" t="s">
        <v>576</v>
      </c>
      <c r="C42" s="14" t="s">
        <v>593</v>
      </c>
      <c r="D42" s="15" t="s">
        <v>594</v>
      </c>
      <c r="E42" s="22">
        <v>3</v>
      </c>
      <c r="F42" s="17" t="s">
        <v>140</v>
      </c>
      <c r="G42" s="15"/>
      <c r="H42" s="15"/>
    </row>
    <row r="43" spans="1:8" ht="30" customHeight="1" x14ac:dyDescent="0.2">
      <c r="A43" s="18" t="s">
        <v>575</v>
      </c>
      <c r="B43" s="18" t="s">
        <v>576</v>
      </c>
      <c r="C43" s="19" t="s">
        <v>595</v>
      </c>
      <c r="D43" s="20" t="s">
        <v>596</v>
      </c>
      <c r="E43" s="22">
        <v>3</v>
      </c>
      <c r="F43" s="17" t="s">
        <v>18</v>
      </c>
      <c r="G43" t="s">
        <v>597</v>
      </c>
      <c r="H43" s="20"/>
    </row>
    <row r="44" spans="1:8" ht="18" customHeight="1" x14ac:dyDescent="0.2">
      <c r="A44" s="12" t="s">
        <v>598</v>
      </c>
      <c r="B44" s="12" t="s">
        <v>599</v>
      </c>
      <c r="C44" s="12"/>
      <c r="D44" s="12"/>
      <c r="E44" s="12"/>
      <c r="F44" s="12"/>
      <c r="G44" s="12"/>
      <c r="H44" s="12"/>
    </row>
    <row r="45" spans="1:8" ht="30" customHeight="1" x14ac:dyDescent="0.2">
      <c r="A45" s="13" t="s">
        <v>598</v>
      </c>
      <c r="B45" s="13" t="s">
        <v>599</v>
      </c>
      <c r="C45" s="14" t="s">
        <v>600</v>
      </c>
      <c r="D45" s="15" t="s">
        <v>601</v>
      </c>
      <c r="E45" s="16">
        <v>2</v>
      </c>
      <c r="F45" s="17" t="s">
        <v>140</v>
      </c>
      <c r="G45" s="15"/>
      <c r="H45" s="15"/>
    </row>
    <row r="46" spans="1:8" ht="30" customHeight="1" x14ac:dyDescent="0.2">
      <c r="A46" s="18" t="s">
        <v>598</v>
      </c>
      <c r="B46" s="18" t="s">
        <v>599</v>
      </c>
      <c r="C46" s="19" t="s">
        <v>602</v>
      </c>
      <c r="D46" s="20" t="s">
        <v>603</v>
      </c>
      <c r="E46" s="16">
        <v>2</v>
      </c>
      <c r="F46" s="17" t="s">
        <v>140</v>
      </c>
      <c r="G46" s="20"/>
      <c r="H46" s="20"/>
    </row>
    <row r="47" spans="1:8" ht="30" customHeight="1" x14ac:dyDescent="0.2">
      <c r="A47" s="13" t="s">
        <v>598</v>
      </c>
      <c r="B47" s="13" t="s">
        <v>599</v>
      </c>
      <c r="C47" s="14" t="s">
        <v>604</v>
      </c>
      <c r="D47" s="15" t="s">
        <v>605</v>
      </c>
      <c r="E47" s="16">
        <v>2</v>
      </c>
      <c r="F47" s="17" t="s">
        <v>140</v>
      </c>
      <c r="G47" s="15"/>
      <c r="H47" s="15"/>
    </row>
    <row r="48" spans="1:8" ht="30" customHeight="1" x14ac:dyDescent="0.2">
      <c r="A48" s="18" t="s">
        <v>598</v>
      </c>
      <c r="B48" s="18" t="s">
        <v>599</v>
      </c>
      <c r="C48" s="19" t="s">
        <v>606</v>
      </c>
      <c r="D48" s="20" t="s">
        <v>607</v>
      </c>
      <c r="E48" s="22">
        <v>3</v>
      </c>
      <c r="F48" s="17" t="s">
        <v>140</v>
      </c>
      <c r="G48" s="20"/>
      <c r="H48" s="20"/>
    </row>
    <row r="49" spans="1:8" ht="18" customHeight="1" x14ac:dyDescent="0.2">
      <c r="A49" s="12" t="s">
        <v>608</v>
      </c>
      <c r="B49" s="12" t="s">
        <v>609</v>
      </c>
      <c r="C49" s="12"/>
      <c r="D49" s="12"/>
      <c r="E49" s="12"/>
      <c r="F49" s="12"/>
      <c r="G49" s="12"/>
      <c r="H49" s="12"/>
    </row>
    <row r="50" spans="1:8" ht="30" customHeight="1" x14ac:dyDescent="0.2">
      <c r="A50" s="13" t="s">
        <v>608</v>
      </c>
      <c r="B50" s="13" t="s">
        <v>609</v>
      </c>
      <c r="C50" s="14" t="s">
        <v>610</v>
      </c>
      <c r="D50" s="15" t="s">
        <v>611</v>
      </c>
      <c r="E50" s="22">
        <v>3</v>
      </c>
      <c r="F50" s="17" t="s">
        <v>140</v>
      </c>
      <c r="G50" s="15"/>
      <c r="H50" s="15"/>
    </row>
    <row r="51" spans="1:8" ht="30" customHeight="1" x14ac:dyDescent="0.2">
      <c r="A51" s="18" t="s">
        <v>608</v>
      </c>
      <c r="B51" s="18" t="s">
        <v>609</v>
      </c>
      <c r="C51" s="19" t="s">
        <v>612</v>
      </c>
      <c r="D51" s="20" t="s">
        <v>613</v>
      </c>
      <c r="E51" s="22">
        <v>3</v>
      </c>
      <c r="F51" s="17" t="s">
        <v>140</v>
      </c>
      <c r="G51" s="20"/>
      <c r="H51" s="20"/>
    </row>
    <row r="52" spans="1:8" ht="18" customHeight="1" x14ac:dyDescent="0.2">
      <c r="A52" s="12" t="s">
        <v>614</v>
      </c>
      <c r="B52" s="12" t="s">
        <v>615</v>
      </c>
      <c r="C52" s="12"/>
      <c r="D52" s="12"/>
      <c r="E52" s="12"/>
      <c r="F52" s="12"/>
      <c r="G52" s="12"/>
      <c r="H52" s="12"/>
    </row>
    <row r="53" spans="1:8" ht="30" customHeight="1" x14ac:dyDescent="0.2">
      <c r="A53" s="13" t="s">
        <v>614</v>
      </c>
      <c r="B53" s="13" t="s">
        <v>615</v>
      </c>
      <c r="C53" s="14" t="s">
        <v>616</v>
      </c>
      <c r="D53" s="15" t="s">
        <v>617</v>
      </c>
      <c r="E53" s="16">
        <v>2</v>
      </c>
      <c r="F53" s="17" t="s">
        <v>140</v>
      </c>
      <c r="G53" s="15"/>
      <c r="H53" s="15"/>
    </row>
    <row r="54" spans="1:8" ht="30" customHeight="1" x14ac:dyDescent="0.2">
      <c r="A54" s="18" t="s">
        <v>614</v>
      </c>
      <c r="B54" s="18" t="s">
        <v>615</v>
      </c>
      <c r="C54" s="19" t="s">
        <v>618</v>
      </c>
      <c r="D54" s="20" t="s">
        <v>619</v>
      </c>
      <c r="E54" s="16">
        <v>2</v>
      </c>
      <c r="F54" s="17" t="s">
        <v>140</v>
      </c>
      <c r="G54" s="20"/>
      <c r="H54" s="20"/>
    </row>
    <row r="55" spans="1:8" ht="30" customHeight="1" x14ac:dyDescent="0.2">
      <c r="A55" s="13" t="s">
        <v>614</v>
      </c>
      <c r="B55" s="13" t="s">
        <v>615</v>
      </c>
      <c r="C55" s="14" t="s">
        <v>620</v>
      </c>
      <c r="D55" s="15" t="s">
        <v>621</v>
      </c>
      <c r="E55" s="16">
        <v>2</v>
      </c>
      <c r="F55" s="17" t="s">
        <v>140</v>
      </c>
      <c r="G55" s="15"/>
      <c r="H55" s="15"/>
    </row>
    <row r="56" spans="1:8" ht="30" customHeight="1" x14ac:dyDescent="0.2">
      <c r="A56" s="18" t="s">
        <v>614</v>
      </c>
      <c r="B56" s="18" t="s">
        <v>615</v>
      </c>
      <c r="C56" s="19" t="s">
        <v>622</v>
      </c>
      <c r="D56" s="20" t="s">
        <v>623</v>
      </c>
      <c r="E56" s="16">
        <v>2</v>
      </c>
      <c r="F56" s="17" t="s">
        <v>140</v>
      </c>
      <c r="G56" s="20"/>
      <c r="H56" s="20"/>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G25" sqref="G2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624</v>
      </c>
      <c r="B2" s="12" t="s">
        <v>625</v>
      </c>
      <c r="C2" s="12"/>
      <c r="D2" s="12"/>
      <c r="E2" s="12"/>
      <c r="F2" s="12"/>
      <c r="G2" s="12"/>
      <c r="H2" s="12"/>
    </row>
    <row r="3" spans="1:8" ht="30" customHeight="1" x14ac:dyDescent="0.2">
      <c r="A3" s="13" t="s">
        <v>624</v>
      </c>
      <c r="B3" s="13" t="s">
        <v>625</v>
      </c>
      <c r="C3" s="14" t="s">
        <v>626</v>
      </c>
      <c r="D3" s="15" t="s">
        <v>627</v>
      </c>
      <c r="E3" s="16">
        <v>2</v>
      </c>
      <c r="F3" s="17" t="s">
        <v>18</v>
      </c>
      <c r="G3" t="s">
        <v>628</v>
      </c>
      <c r="H3" s="15" t="s">
        <v>629</v>
      </c>
    </row>
    <row r="4" spans="1:8" ht="30" customHeight="1" x14ac:dyDescent="0.2">
      <c r="A4" s="18" t="s">
        <v>624</v>
      </c>
      <c r="B4" s="18" t="s">
        <v>625</v>
      </c>
      <c r="C4" s="19" t="s">
        <v>630</v>
      </c>
      <c r="D4" s="20" t="s">
        <v>631</v>
      </c>
      <c r="E4" s="16">
        <v>2</v>
      </c>
      <c r="F4" s="17" t="s">
        <v>140</v>
      </c>
      <c r="G4" s="20"/>
      <c r="H4" s="20"/>
    </row>
    <row r="5" spans="1:8" ht="30" customHeight="1" x14ac:dyDescent="0.2">
      <c r="A5" s="13" t="s">
        <v>624</v>
      </c>
      <c r="B5" s="13" t="s">
        <v>625</v>
      </c>
      <c r="C5" s="14" t="s">
        <v>632</v>
      </c>
      <c r="D5" s="15" t="s">
        <v>633</v>
      </c>
      <c r="E5" s="16">
        <v>2</v>
      </c>
      <c r="F5" s="17" t="s">
        <v>140</v>
      </c>
      <c r="G5" s="15"/>
      <c r="H5" s="15"/>
    </row>
    <row r="6" spans="1:8" ht="18" customHeight="1" x14ac:dyDescent="0.2">
      <c r="A6" s="12" t="s">
        <v>634</v>
      </c>
      <c r="B6" s="12" t="s">
        <v>635</v>
      </c>
      <c r="C6" s="12"/>
      <c r="D6" s="12"/>
      <c r="E6" s="12"/>
      <c r="F6" s="12"/>
      <c r="G6" s="12"/>
      <c r="H6" s="12"/>
    </row>
    <row r="7" spans="1:8" ht="30" customHeight="1" x14ac:dyDescent="0.2">
      <c r="A7" s="13" t="s">
        <v>634</v>
      </c>
      <c r="B7" s="13" t="s">
        <v>635</v>
      </c>
      <c r="C7" s="14" t="s">
        <v>636</v>
      </c>
      <c r="D7" s="15" t="s">
        <v>637</v>
      </c>
      <c r="E7" s="21">
        <v>1</v>
      </c>
      <c r="F7" s="17" t="s">
        <v>18</v>
      </c>
      <c r="G7" t="s">
        <v>638</v>
      </c>
      <c r="H7" s="15" t="s">
        <v>639</v>
      </c>
    </row>
    <row r="8" spans="1:8" ht="30" customHeight="1" x14ac:dyDescent="0.2">
      <c r="A8" s="18" t="s">
        <v>634</v>
      </c>
      <c r="B8" s="18" t="s">
        <v>635</v>
      </c>
      <c r="C8" s="19" t="s">
        <v>640</v>
      </c>
      <c r="D8" s="20" t="s">
        <v>641</v>
      </c>
      <c r="E8" s="21">
        <v>1</v>
      </c>
      <c r="F8" s="17" t="s">
        <v>18</v>
      </c>
      <c r="G8" t="s">
        <v>642</v>
      </c>
      <c r="H8" s="20" t="s">
        <v>643</v>
      </c>
    </row>
    <row r="9" spans="1:8" ht="30" customHeight="1" x14ac:dyDescent="0.2">
      <c r="A9" s="13" t="s">
        <v>634</v>
      </c>
      <c r="B9" s="13" t="s">
        <v>635</v>
      </c>
      <c r="C9" s="14" t="s">
        <v>644</v>
      </c>
      <c r="D9" s="15" t="s">
        <v>645</v>
      </c>
      <c r="E9" s="21">
        <v>1</v>
      </c>
      <c r="F9" s="17" t="s">
        <v>18</v>
      </c>
      <c r="G9" t="s">
        <v>646</v>
      </c>
      <c r="H9" s="15" t="s">
        <v>647</v>
      </c>
    </row>
    <row r="10" spans="1:8" ht="30" customHeight="1" x14ac:dyDescent="0.2">
      <c r="A10" s="18" t="s">
        <v>634</v>
      </c>
      <c r="B10" s="18" t="s">
        <v>635</v>
      </c>
      <c r="C10" s="19" t="s">
        <v>648</v>
      </c>
      <c r="D10" s="20" t="s">
        <v>649</v>
      </c>
      <c r="E10" s="21">
        <v>1</v>
      </c>
      <c r="F10" s="17" t="s">
        <v>18</v>
      </c>
      <c r="G10" t="s">
        <v>650</v>
      </c>
      <c r="H10" s="20"/>
    </row>
    <row r="11" spans="1:8" ht="18" customHeight="1" x14ac:dyDescent="0.2">
      <c r="A11" s="12" t="s">
        <v>651</v>
      </c>
      <c r="B11" s="12" t="s">
        <v>652</v>
      </c>
      <c r="C11" s="12"/>
      <c r="D11" s="12"/>
      <c r="E11" s="12"/>
      <c r="F11" s="12"/>
      <c r="G11" s="12"/>
      <c r="H11" s="12"/>
    </row>
    <row r="12" spans="1:8" ht="30" customHeight="1" x14ac:dyDescent="0.2">
      <c r="A12" s="13" t="s">
        <v>651</v>
      </c>
      <c r="B12" s="13" t="s">
        <v>652</v>
      </c>
      <c r="C12" s="14" t="s">
        <v>653</v>
      </c>
      <c r="D12" s="15" t="s">
        <v>654</v>
      </c>
      <c r="E12" s="16">
        <v>2</v>
      </c>
      <c r="F12" s="17" t="s">
        <v>18</v>
      </c>
      <c r="G12" t="s">
        <v>655</v>
      </c>
      <c r="H12" s="15" t="s">
        <v>656</v>
      </c>
    </row>
    <row r="13" spans="1:8" ht="30" customHeight="1" x14ac:dyDescent="0.2">
      <c r="A13" s="18" t="s">
        <v>651</v>
      </c>
      <c r="B13" s="18" t="s">
        <v>652</v>
      </c>
      <c r="C13" s="19" t="s">
        <v>657</v>
      </c>
      <c r="D13" s="20" t="s">
        <v>658</v>
      </c>
      <c r="E13" s="16">
        <v>2</v>
      </c>
      <c r="F13" s="17" t="s">
        <v>18</v>
      </c>
      <c r="G13" t="s">
        <v>659</v>
      </c>
      <c r="H13" s="20" t="s">
        <v>660</v>
      </c>
    </row>
    <row r="14" spans="1:8" ht="18" customHeight="1" x14ac:dyDescent="0.2">
      <c r="A14" s="12" t="s">
        <v>661</v>
      </c>
      <c r="B14" s="12" t="s">
        <v>662</v>
      </c>
      <c r="C14" s="12"/>
      <c r="D14" s="12"/>
      <c r="E14" s="12"/>
      <c r="F14" s="12"/>
      <c r="G14" s="12"/>
      <c r="H14" s="12"/>
    </row>
    <row r="15" spans="1:8" ht="30" customHeight="1" x14ac:dyDescent="0.2">
      <c r="A15" s="13" t="s">
        <v>661</v>
      </c>
      <c r="B15" s="13" t="s">
        <v>662</v>
      </c>
      <c r="C15" s="14" t="s">
        <v>663</v>
      </c>
      <c r="D15" s="15" t="s">
        <v>664</v>
      </c>
      <c r="E15" s="21">
        <v>1</v>
      </c>
      <c r="F15" s="17" t="s">
        <v>18</v>
      </c>
      <c r="G15" t="s">
        <v>665</v>
      </c>
      <c r="H15" s="15"/>
    </row>
    <row r="16" spans="1:8" ht="30" customHeight="1" x14ac:dyDescent="0.2">
      <c r="A16" s="18" t="s">
        <v>661</v>
      </c>
      <c r="B16" s="18" t="s">
        <v>662</v>
      </c>
      <c r="C16" s="19" t="s">
        <v>666</v>
      </c>
      <c r="D16" s="20" t="s">
        <v>667</v>
      </c>
      <c r="E16" s="21">
        <v>1</v>
      </c>
      <c r="F16" s="17" t="s">
        <v>18</v>
      </c>
      <c r="G16" t="s">
        <v>668</v>
      </c>
      <c r="H16" s="20"/>
    </row>
    <row r="17" spans="1:8" ht="30" customHeight="1" x14ac:dyDescent="0.2">
      <c r="A17" s="13" t="s">
        <v>661</v>
      </c>
      <c r="B17" s="13" t="s">
        <v>662</v>
      </c>
      <c r="C17" s="14" t="s">
        <v>669</v>
      </c>
      <c r="D17" s="15" t="s">
        <v>670</v>
      </c>
      <c r="E17" s="16">
        <v>2</v>
      </c>
      <c r="F17" s="17" t="s">
        <v>140</v>
      </c>
      <c r="G17" s="15"/>
      <c r="H17" s="15"/>
    </row>
    <row r="18" spans="1:8" ht="30" customHeight="1" x14ac:dyDescent="0.2">
      <c r="A18" s="18" t="s">
        <v>661</v>
      </c>
      <c r="B18" s="18" t="s">
        <v>662</v>
      </c>
      <c r="C18" s="19" t="s">
        <v>671</v>
      </c>
      <c r="D18" s="20" t="s">
        <v>672</v>
      </c>
      <c r="E18" s="16">
        <v>2</v>
      </c>
      <c r="F18" s="17" t="s">
        <v>140</v>
      </c>
      <c r="G18" s="20"/>
      <c r="H18" s="20"/>
    </row>
    <row r="19" spans="1:8" ht="30" customHeight="1" x14ac:dyDescent="0.2">
      <c r="A19" s="13" t="s">
        <v>661</v>
      </c>
      <c r="B19" s="13" t="s">
        <v>662</v>
      </c>
      <c r="C19" s="14" t="s">
        <v>673</v>
      </c>
      <c r="D19" s="15" t="s">
        <v>674</v>
      </c>
      <c r="E19" s="16">
        <v>2</v>
      </c>
      <c r="F19" s="17" t="s">
        <v>18</v>
      </c>
      <c r="G19" t="s">
        <v>675</v>
      </c>
      <c r="H19" s="15"/>
    </row>
    <row r="20" spans="1:8" ht="18" customHeight="1" x14ac:dyDescent="0.2">
      <c r="A20" s="12" t="s">
        <v>676</v>
      </c>
      <c r="B20" s="12" t="s">
        <v>677</v>
      </c>
      <c r="C20" s="12"/>
      <c r="D20" s="12"/>
      <c r="E20" s="12"/>
      <c r="F20" s="12"/>
      <c r="G20" s="12"/>
      <c r="H20" s="12"/>
    </row>
    <row r="21" spans="1:8" ht="30" customHeight="1" x14ac:dyDescent="0.2">
      <c r="A21" s="13" t="s">
        <v>676</v>
      </c>
      <c r="B21" s="13" t="s">
        <v>677</v>
      </c>
      <c r="C21" s="14" t="s">
        <v>678</v>
      </c>
      <c r="D21" s="15" t="s">
        <v>679</v>
      </c>
      <c r="E21" s="16">
        <v>2</v>
      </c>
      <c r="F21" s="17" t="s">
        <v>18</v>
      </c>
      <c r="G21" t="s">
        <v>680</v>
      </c>
      <c r="H21" s="15"/>
    </row>
    <row r="22" spans="1:8" ht="30" customHeight="1" x14ac:dyDescent="0.2">
      <c r="A22" s="18" t="s">
        <v>676</v>
      </c>
      <c r="B22" s="18" t="s">
        <v>677</v>
      </c>
      <c r="C22" s="19" t="s">
        <v>681</v>
      </c>
      <c r="D22" s="20" t="s">
        <v>682</v>
      </c>
      <c r="E22" s="16">
        <v>2</v>
      </c>
      <c r="F22" s="17" t="s">
        <v>140</v>
      </c>
      <c r="G22" s="20"/>
      <c r="H22" s="20"/>
    </row>
    <row r="23" spans="1:8" ht="30" customHeight="1" x14ac:dyDescent="0.2">
      <c r="A23" s="13" t="s">
        <v>676</v>
      </c>
      <c r="B23" s="13" t="s">
        <v>677</v>
      </c>
      <c r="C23" s="14" t="s">
        <v>683</v>
      </c>
      <c r="D23" s="15" t="s">
        <v>684</v>
      </c>
      <c r="E23" s="22">
        <v>3</v>
      </c>
      <c r="F23" s="17" t="s">
        <v>140</v>
      </c>
      <c r="G23" s="15"/>
      <c r="H23" s="15"/>
    </row>
    <row r="24" spans="1:8" ht="18" customHeight="1" x14ac:dyDescent="0.2">
      <c r="A24" s="12" t="s">
        <v>685</v>
      </c>
      <c r="B24" s="12" t="s">
        <v>686</v>
      </c>
      <c r="C24" s="12"/>
      <c r="D24" s="12"/>
      <c r="E24" s="12"/>
      <c r="F24" s="12"/>
      <c r="G24" s="12"/>
      <c r="H24" s="12"/>
    </row>
    <row r="25" spans="1:8" ht="30" customHeight="1" x14ac:dyDescent="0.2">
      <c r="A25" s="13" t="s">
        <v>685</v>
      </c>
      <c r="B25" s="13" t="s">
        <v>686</v>
      </c>
      <c r="C25" s="14" t="s">
        <v>687</v>
      </c>
      <c r="D25" s="15" t="s">
        <v>688</v>
      </c>
      <c r="E25" s="16">
        <v>2</v>
      </c>
      <c r="F25" s="17" t="s">
        <v>140</v>
      </c>
      <c r="H25" s="15"/>
    </row>
    <row r="26" spans="1:8" ht="30" customHeight="1" x14ac:dyDescent="0.2">
      <c r="A26" s="18" t="s">
        <v>685</v>
      </c>
      <c r="B26" s="18" t="s">
        <v>686</v>
      </c>
      <c r="C26" s="19" t="s">
        <v>689</v>
      </c>
      <c r="D26" s="20" t="s">
        <v>690</v>
      </c>
      <c r="E26" s="16">
        <v>2</v>
      </c>
      <c r="F26" s="17" t="s">
        <v>18</v>
      </c>
      <c r="G26" t="s">
        <v>691</v>
      </c>
      <c r="H26" s="20" t="s">
        <v>692</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activeCell="F14" sqref="F1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693</v>
      </c>
      <c r="B2" s="12" t="s">
        <v>694</v>
      </c>
      <c r="C2" s="12"/>
      <c r="D2" s="12"/>
      <c r="E2" s="12"/>
      <c r="F2" s="12"/>
      <c r="G2" s="12"/>
      <c r="H2" s="12"/>
    </row>
    <row r="3" spans="1:8" ht="30" customHeight="1" x14ac:dyDescent="0.2">
      <c r="A3" s="13" t="s">
        <v>693</v>
      </c>
      <c r="B3" s="13" t="s">
        <v>694</v>
      </c>
      <c r="C3" s="14" t="s">
        <v>695</v>
      </c>
      <c r="D3" s="15" t="s">
        <v>696</v>
      </c>
      <c r="E3" s="21">
        <v>1</v>
      </c>
      <c r="F3" s="17" t="s">
        <v>18</v>
      </c>
      <c r="G3" t="s">
        <v>697</v>
      </c>
      <c r="H3" s="15" t="s">
        <v>698</v>
      </c>
    </row>
    <row r="4" spans="1:8" ht="30" customHeight="1" x14ac:dyDescent="0.2">
      <c r="A4" s="18" t="s">
        <v>693</v>
      </c>
      <c r="B4" s="18" t="s">
        <v>694</v>
      </c>
      <c r="C4" s="19" t="s">
        <v>699</v>
      </c>
      <c r="D4" s="20" t="s">
        <v>700</v>
      </c>
      <c r="E4" s="16">
        <v>2</v>
      </c>
      <c r="F4" s="17" t="s">
        <v>18</v>
      </c>
      <c r="G4" t="s">
        <v>701</v>
      </c>
      <c r="H4" s="20" t="s">
        <v>702</v>
      </c>
    </row>
    <row r="5" spans="1:8" ht="30" customHeight="1" x14ac:dyDescent="0.2">
      <c r="A5" s="13" t="s">
        <v>693</v>
      </c>
      <c r="B5" s="13" t="s">
        <v>694</v>
      </c>
      <c r="C5" s="14" t="s">
        <v>703</v>
      </c>
      <c r="D5" s="15" t="s">
        <v>704</v>
      </c>
      <c r="E5" s="22">
        <v>3</v>
      </c>
      <c r="F5" s="17" t="s">
        <v>140</v>
      </c>
      <c r="G5" s="15"/>
      <c r="H5" s="15"/>
    </row>
    <row r="6" spans="1:8" ht="30" customHeight="1" x14ac:dyDescent="0.2">
      <c r="A6" s="18" t="s">
        <v>693</v>
      </c>
      <c r="B6" s="18" t="s">
        <v>694</v>
      </c>
      <c r="C6" s="19" t="s">
        <v>705</v>
      </c>
      <c r="D6" s="20" t="s">
        <v>706</v>
      </c>
      <c r="E6" s="22">
        <v>3</v>
      </c>
      <c r="F6" s="17" t="s">
        <v>140</v>
      </c>
      <c r="G6" s="20"/>
      <c r="H6" s="20"/>
    </row>
    <row r="7" spans="1:8" ht="18" customHeight="1" x14ac:dyDescent="0.2">
      <c r="A7" s="12" t="s">
        <v>707</v>
      </c>
      <c r="B7" s="12" t="s">
        <v>708</v>
      </c>
      <c r="C7" s="12"/>
      <c r="D7" s="12"/>
      <c r="E7" s="12"/>
      <c r="F7" s="12"/>
      <c r="G7" s="12"/>
      <c r="H7" s="12"/>
    </row>
    <row r="8" spans="1:8" ht="30" customHeight="1" x14ac:dyDescent="0.2">
      <c r="A8" s="13" t="s">
        <v>707</v>
      </c>
      <c r="B8" s="13" t="s">
        <v>708</v>
      </c>
      <c r="C8" s="14" t="s">
        <v>709</v>
      </c>
      <c r="D8" s="15" t="s">
        <v>710</v>
      </c>
      <c r="E8" s="21">
        <v>1</v>
      </c>
      <c r="F8" s="17" t="s">
        <v>18</v>
      </c>
      <c r="G8" t="s">
        <v>711</v>
      </c>
      <c r="H8" s="15" t="s">
        <v>712</v>
      </c>
    </row>
    <row r="9" spans="1:8" ht="30" customHeight="1" x14ac:dyDescent="0.2">
      <c r="A9" s="18" t="s">
        <v>707</v>
      </c>
      <c r="B9" s="18" t="s">
        <v>708</v>
      </c>
      <c r="C9" s="19" t="s">
        <v>713</v>
      </c>
      <c r="D9" s="20" t="s">
        <v>714</v>
      </c>
      <c r="E9" s="21">
        <v>1</v>
      </c>
      <c r="F9" s="17" t="s">
        <v>18</v>
      </c>
      <c r="G9" t="s">
        <v>715</v>
      </c>
      <c r="H9" s="20" t="s">
        <v>716</v>
      </c>
    </row>
    <row r="10" spans="1:8" ht="30" customHeight="1" x14ac:dyDescent="0.2">
      <c r="A10" s="13" t="s">
        <v>707</v>
      </c>
      <c r="B10" s="13" t="s">
        <v>708</v>
      </c>
      <c r="C10" s="14" t="s">
        <v>717</v>
      </c>
      <c r="D10" s="15" t="s">
        <v>718</v>
      </c>
      <c r="E10" s="16">
        <v>2</v>
      </c>
      <c r="F10" s="17" t="s">
        <v>18</v>
      </c>
      <c r="G10" t="s">
        <v>719</v>
      </c>
      <c r="H10" s="15" t="s">
        <v>720</v>
      </c>
    </row>
    <row r="11" spans="1:8" ht="30" customHeight="1" x14ac:dyDescent="0.2">
      <c r="A11" s="18" t="s">
        <v>707</v>
      </c>
      <c r="B11" s="18" t="s">
        <v>708</v>
      </c>
      <c r="C11" s="19" t="s">
        <v>721</v>
      </c>
      <c r="D11" s="20" t="s">
        <v>722</v>
      </c>
      <c r="E11" s="22">
        <v>3</v>
      </c>
      <c r="F11" s="17" t="s">
        <v>18</v>
      </c>
      <c r="G11" t="s">
        <v>723</v>
      </c>
      <c r="H11" s="20"/>
    </row>
    <row r="12" spans="1:8" ht="18" customHeight="1" x14ac:dyDescent="0.2">
      <c r="A12" s="12" t="s">
        <v>724</v>
      </c>
      <c r="B12" s="12" t="s">
        <v>725</v>
      </c>
      <c r="C12" s="12"/>
      <c r="D12" s="12"/>
      <c r="E12" s="12"/>
      <c r="F12" s="12"/>
      <c r="G12" s="12"/>
      <c r="H12" s="12"/>
    </row>
    <row r="13" spans="1:8" ht="30" customHeight="1" x14ac:dyDescent="0.2">
      <c r="A13" s="13" t="s">
        <v>724</v>
      </c>
      <c r="B13" s="13" t="s">
        <v>725</v>
      </c>
      <c r="C13" s="14" t="s">
        <v>726</v>
      </c>
      <c r="D13" s="15" t="s">
        <v>727</v>
      </c>
      <c r="E13" s="21">
        <v>1</v>
      </c>
      <c r="F13" s="17" t="s">
        <v>140</v>
      </c>
      <c r="H13" s="15"/>
    </row>
    <row r="14" spans="1:8" ht="30" customHeight="1" x14ac:dyDescent="0.2">
      <c r="A14" s="18" t="s">
        <v>724</v>
      </c>
      <c r="B14" s="18" t="s">
        <v>725</v>
      </c>
      <c r="C14" s="19" t="s">
        <v>728</v>
      </c>
      <c r="D14" s="20" t="s">
        <v>729</v>
      </c>
      <c r="E14" s="22">
        <v>3</v>
      </c>
      <c r="F14" s="17" t="s">
        <v>18</v>
      </c>
      <c r="G14" t="s">
        <v>730</v>
      </c>
      <c r="H14" s="20" t="s">
        <v>731</v>
      </c>
    </row>
    <row r="15" spans="1:8" ht="30" customHeight="1" x14ac:dyDescent="0.2">
      <c r="A15" s="13" t="s">
        <v>724</v>
      </c>
      <c r="B15" s="13" t="s">
        <v>725</v>
      </c>
      <c r="C15" s="14" t="s">
        <v>732</v>
      </c>
      <c r="D15" s="15" t="s">
        <v>733</v>
      </c>
      <c r="E15" s="22">
        <v>3</v>
      </c>
      <c r="F15" s="17" t="s">
        <v>18</v>
      </c>
      <c r="G15" t="s">
        <v>734</v>
      </c>
      <c r="H15" s="15" t="s">
        <v>735</v>
      </c>
    </row>
    <row r="16" spans="1:8" ht="18" customHeight="1" x14ac:dyDescent="0.2">
      <c r="A16" s="12" t="s">
        <v>736</v>
      </c>
      <c r="B16" s="12" t="s">
        <v>737</v>
      </c>
      <c r="C16" s="12"/>
      <c r="D16" s="12"/>
      <c r="E16" s="12"/>
      <c r="F16" s="12"/>
      <c r="G16" s="12"/>
      <c r="H16" s="12"/>
    </row>
    <row r="17" spans="1:8" ht="30" customHeight="1" x14ac:dyDescent="0.2">
      <c r="A17" s="13" t="s">
        <v>736</v>
      </c>
      <c r="B17" s="13" t="s">
        <v>737</v>
      </c>
      <c r="C17" s="14" t="s">
        <v>738</v>
      </c>
      <c r="D17" s="15" t="s">
        <v>739</v>
      </c>
      <c r="E17" s="16">
        <v>2</v>
      </c>
      <c r="F17" s="17" t="s">
        <v>140</v>
      </c>
      <c r="G17" s="15"/>
      <c r="H17" s="15"/>
    </row>
    <row r="18" spans="1:8" ht="30" customHeight="1" x14ac:dyDescent="0.2">
      <c r="A18" s="18" t="s">
        <v>736</v>
      </c>
      <c r="B18" s="18" t="s">
        <v>737</v>
      </c>
      <c r="C18" s="19" t="s">
        <v>740</v>
      </c>
      <c r="D18" s="20" t="s">
        <v>741</v>
      </c>
      <c r="E18" s="22">
        <v>3</v>
      </c>
      <c r="F18" s="17" t="s">
        <v>140</v>
      </c>
      <c r="G18" s="20"/>
      <c r="H18" s="20"/>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85" zoomScaleNormal="85" workbookViewId="0">
      <pane ySplit="1" topLeftCell="A2" activePane="bottomLeft" state="frozen"/>
      <selection pane="bottomLeft" activeCell="F9" sqref="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742</v>
      </c>
      <c r="B2" s="12" t="s">
        <v>743</v>
      </c>
      <c r="C2" s="12"/>
      <c r="D2" s="12"/>
      <c r="E2" s="12"/>
      <c r="F2" s="12"/>
      <c r="G2" s="12"/>
      <c r="H2" s="12"/>
    </row>
    <row r="3" spans="1:8" ht="56" customHeight="1" x14ac:dyDescent="0.2">
      <c r="A3" s="13" t="s">
        <v>742</v>
      </c>
      <c r="B3" s="13" t="s">
        <v>743</v>
      </c>
      <c r="C3" s="14" t="s">
        <v>744</v>
      </c>
      <c r="D3" s="15" t="s">
        <v>745</v>
      </c>
      <c r="E3" s="21">
        <v>1</v>
      </c>
      <c r="F3" s="17" t="s">
        <v>18</v>
      </c>
      <c r="G3" s="15" t="s">
        <v>746</v>
      </c>
      <c r="H3" s="15" t="s">
        <v>747</v>
      </c>
    </row>
    <row r="4" spans="1:8" ht="55" customHeight="1" x14ac:dyDescent="0.2">
      <c r="A4" s="18" t="s">
        <v>742</v>
      </c>
      <c r="B4" s="18" t="s">
        <v>743</v>
      </c>
      <c r="C4" s="19" t="s">
        <v>748</v>
      </c>
      <c r="D4" s="20" t="s">
        <v>749</v>
      </c>
      <c r="E4" s="21">
        <v>1</v>
      </c>
      <c r="F4" s="17" t="s">
        <v>18</v>
      </c>
      <c r="G4" s="20" t="s">
        <v>750</v>
      </c>
      <c r="H4" s="20" t="s">
        <v>751</v>
      </c>
    </row>
    <row r="5" spans="1:8" ht="61" customHeight="1" x14ac:dyDescent="0.2">
      <c r="A5" s="13" t="s">
        <v>742</v>
      </c>
      <c r="B5" s="13" t="s">
        <v>743</v>
      </c>
      <c r="C5" s="14" t="s">
        <v>752</v>
      </c>
      <c r="D5" s="15" t="s">
        <v>753</v>
      </c>
      <c r="E5" s="21">
        <v>1</v>
      </c>
      <c r="F5" s="17" t="s">
        <v>18</v>
      </c>
      <c r="G5" s="15" t="s">
        <v>754</v>
      </c>
      <c r="H5" s="15" t="s">
        <v>755</v>
      </c>
    </row>
    <row r="6" spans="1:8" ht="18" customHeight="1" x14ac:dyDescent="0.2">
      <c r="A6" s="12" t="s">
        <v>756</v>
      </c>
      <c r="B6" s="12" t="s">
        <v>757</v>
      </c>
      <c r="C6" s="12"/>
      <c r="D6" s="12"/>
      <c r="E6" s="12"/>
      <c r="F6" s="12"/>
      <c r="G6" s="12"/>
      <c r="H6" s="12"/>
    </row>
    <row r="7" spans="1:8" ht="63" customHeight="1" x14ac:dyDescent="0.2">
      <c r="A7" s="13" t="s">
        <v>756</v>
      </c>
      <c r="B7" s="13" t="s">
        <v>757</v>
      </c>
      <c r="C7" s="14" t="s">
        <v>758</v>
      </c>
      <c r="D7" s="15" t="s">
        <v>759</v>
      </c>
      <c r="E7" s="21">
        <v>1</v>
      </c>
      <c r="F7" s="17" t="s">
        <v>18</v>
      </c>
      <c r="G7" s="15" t="s">
        <v>760</v>
      </c>
      <c r="H7" s="15" t="s">
        <v>656</v>
      </c>
    </row>
    <row r="8" spans="1:8" ht="57" customHeight="1" x14ac:dyDescent="0.2">
      <c r="A8" s="18" t="s">
        <v>756</v>
      </c>
      <c r="B8" s="18" t="s">
        <v>757</v>
      </c>
      <c r="C8" s="19" t="s">
        <v>761</v>
      </c>
      <c r="D8" s="20" t="s">
        <v>762</v>
      </c>
      <c r="E8" s="16">
        <v>2</v>
      </c>
      <c r="F8" s="17" t="s">
        <v>18</v>
      </c>
      <c r="G8" s="20" t="s">
        <v>763</v>
      </c>
      <c r="H8" s="20" t="s">
        <v>764</v>
      </c>
    </row>
    <row r="9" spans="1:8" ht="37" customHeight="1" x14ac:dyDescent="0.2">
      <c r="A9" s="13" t="s">
        <v>756</v>
      </c>
      <c r="B9" s="13" t="s">
        <v>757</v>
      </c>
      <c r="C9" s="14" t="s">
        <v>765</v>
      </c>
      <c r="D9" s="15" t="s">
        <v>766</v>
      </c>
      <c r="E9" s="16">
        <v>2</v>
      </c>
      <c r="F9" s="17" t="s">
        <v>18</v>
      </c>
      <c r="G9" s="15" t="s">
        <v>767</v>
      </c>
      <c r="H9" s="15" t="s">
        <v>768</v>
      </c>
    </row>
    <row r="10" spans="1:8" ht="30" customHeight="1" x14ac:dyDescent="0.2">
      <c r="A10" s="18" t="s">
        <v>756</v>
      </c>
      <c r="B10" s="18" t="s">
        <v>757</v>
      </c>
      <c r="C10" s="19" t="s">
        <v>769</v>
      </c>
      <c r="D10" s="20" t="s">
        <v>770</v>
      </c>
      <c r="E10" s="16">
        <v>2</v>
      </c>
      <c r="F10" s="17" t="s">
        <v>140</v>
      </c>
      <c r="G10" s="20"/>
      <c r="H10" s="20"/>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H44"/>
  <sheetViews>
    <sheetView zoomScaleNormal="100" workbookViewId="0">
      <pane ySplit="1" topLeftCell="A9" activePane="bottomLeft" state="frozen"/>
      <selection pane="bottomLeft" activeCell="D47" sqref="D4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771</v>
      </c>
      <c r="B2" s="12" t="s">
        <v>772</v>
      </c>
      <c r="C2" s="12"/>
      <c r="D2" s="12"/>
      <c r="E2" s="12"/>
      <c r="F2" s="12"/>
      <c r="G2" s="12"/>
      <c r="H2" s="12"/>
    </row>
    <row r="3" spans="1:8" ht="30" hidden="1" customHeight="1" x14ac:dyDescent="0.2">
      <c r="A3" s="13" t="s">
        <v>771</v>
      </c>
      <c r="B3" s="13" t="s">
        <v>772</v>
      </c>
      <c r="C3" s="14" t="s">
        <v>773</v>
      </c>
      <c r="D3" s="15" t="s">
        <v>774</v>
      </c>
      <c r="E3" s="16">
        <v>2</v>
      </c>
      <c r="F3" s="17" t="s">
        <v>140</v>
      </c>
      <c r="G3" s="15"/>
      <c r="H3" s="15"/>
    </row>
    <row r="4" spans="1:8" ht="110" hidden="1" customHeight="1" x14ac:dyDescent="0.2">
      <c r="A4" s="18" t="s">
        <v>771</v>
      </c>
      <c r="B4" s="18" t="s">
        <v>772</v>
      </c>
      <c r="C4" s="19" t="s">
        <v>775</v>
      </c>
      <c r="D4" s="20" t="s">
        <v>776</v>
      </c>
      <c r="E4" s="16">
        <v>2</v>
      </c>
      <c r="F4" s="17" t="s">
        <v>140</v>
      </c>
      <c r="G4" s="20"/>
      <c r="H4" s="20"/>
    </row>
    <row r="5" spans="1:8" ht="18" customHeight="1" x14ac:dyDescent="0.2">
      <c r="A5" s="12" t="s">
        <v>777</v>
      </c>
      <c r="B5" s="12" t="s">
        <v>778</v>
      </c>
      <c r="C5" s="12"/>
      <c r="D5" s="12"/>
      <c r="E5" s="12"/>
      <c r="F5" s="12"/>
      <c r="G5" s="12"/>
      <c r="H5" s="12"/>
    </row>
    <row r="6" spans="1:8" ht="30" hidden="1" customHeight="1" x14ac:dyDescent="0.2">
      <c r="A6" s="13" t="s">
        <v>777</v>
      </c>
      <c r="B6" s="13" t="s">
        <v>778</v>
      </c>
      <c r="C6" s="14" t="s">
        <v>779</v>
      </c>
      <c r="D6" s="15" t="s">
        <v>780</v>
      </c>
      <c r="E6" s="16">
        <v>2</v>
      </c>
      <c r="F6" s="17" t="s">
        <v>140</v>
      </c>
      <c r="G6" s="15"/>
      <c r="H6" s="15"/>
    </row>
    <row r="7" spans="1:8" ht="67" hidden="1" customHeight="1" x14ac:dyDescent="0.2">
      <c r="A7" s="18" t="s">
        <v>777</v>
      </c>
      <c r="B7" s="18" t="s">
        <v>778</v>
      </c>
      <c r="C7" s="19" t="s">
        <v>781</v>
      </c>
      <c r="D7" s="20" t="s">
        <v>782</v>
      </c>
      <c r="E7" s="16">
        <v>2</v>
      </c>
      <c r="F7" s="17" t="s">
        <v>140</v>
      </c>
      <c r="G7" s="20"/>
      <c r="H7" s="20"/>
    </row>
    <row r="8" spans="1:8" ht="30" hidden="1" customHeight="1" x14ac:dyDescent="0.2">
      <c r="A8" s="13" t="s">
        <v>777</v>
      </c>
      <c r="B8" s="13" t="s">
        <v>778</v>
      </c>
      <c r="C8" s="14" t="s">
        <v>783</v>
      </c>
      <c r="D8" s="15" t="s">
        <v>784</v>
      </c>
      <c r="E8" s="22">
        <v>3</v>
      </c>
      <c r="F8" s="17" t="s">
        <v>140</v>
      </c>
      <c r="G8" s="15"/>
      <c r="H8" s="15"/>
    </row>
    <row r="9" spans="1:8" ht="18" customHeight="1" x14ac:dyDescent="0.2">
      <c r="A9" s="12" t="s">
        <v>785</v>
      </c>
      <c r="B9" s="12" t="s">
        <v>786</v>
      </c>
      <c r="C9" s="12"/>
      <c r="D9" s="12"/>
      <c r="E9" s="12"/>
      <c r="F9" s="12"/>
      <c r="G9" s="12"/>
      <c r="H9" s="12"/>
    </row>
    <row r="10" spans="1:8" ht="68" hidden="1" customHeight="1" x14ac:dyDescent="0.2">
      <c r="A10" s="13" t="s">
        <v>785</v>
      </c>
      <c r="B10" s="13" t="s">
        <v>786</v>
      </c>
      <c r="C10" s="14" t="s">
        <v>787</v>
      </c>
      <c r="D10" s="15" t="s">
        <v>788</v>
      </c>
      <c r="E10" s="16">
        <v>2</v>
      </c>
      <c r="F10" s="17" t="s">
        <v>140</v>
      </c>
      <c r="G10" s="15"/>
      <c r="H10" s="15"/>
    </row>
    <row r="11" spans="1:8" ht="52" customHeight="1" x14ac:dyDescent="0.2">
      <c r="A11" s="18" t="s">
        <v>785</v>
      </c>
      <c r="B11" s="18" t="s">
        <v>786</v>
      </c>
      <c r="C11" s="19" t="s">
        <v>789</v>
      </c>
      <c r="D11" s="20" t="s">
        <v>790</v>
      </c>
      <c r="E11" s="16">
        <v>2</v>
      </c>
      <c r="F11" s="17" t="s">
        <v>18</v>
      </c>
      <c r="G11" s="25" t="s">
        <v>791</v>
      </c>
      <c r="H11" s="20" t="s">
        <v>792</v>
      </c>
    </row>
    <row r="12" spans="1:8" ht="64" hidden="1" customHeight="1" x14ac:dyDescent="0.2">
      <c r="A12" s="13" t="s">
        <v>785</v>
      </c>
      <c r="B12" s="13" t="s">
        <v>786</v>
      </c>
      <c r="C12" s="14" t="s">
        <v>793</v>
      </c>
      <c r="D12" s="15" t="s">
        <v>794</v>
      </c>
      <c r="E12" s="16">
        <v>2</v>
      </c>
      <c r="F12" s="17" t="s">
        <v>140</v>
      </c>
      <c r="G12" s="15"/>
      <c r="H12" s="15"/>
    </row>
    <row r="13" spans="1:8" ht="67" hidden="1" customHeight="1" x14ac:dyDescent="0.2">
      <c r="A13" s="18" t="s">
        <v>785</v>
      </c>
      <c r="B13" s="18" t="s">
        <v>786</v>
      </c>
      <c r="C13" s="19" t="s">
        <v>795</v>
      </c>
      <c r="D13" s="20" t="s">
        <v>796</v>
      </c>
      <c r="E13" s="16">
        <v>2</v>
      </c>
      <c r="F13" s="17" t="s">
        <v>140</v>
      </c>
      <c r="G13" s="20"/>
      <c r="H13" s="20"/>
    </row>
    <row r="14" spans="1:8" ht="60" hidden="1" customHeight="1" x14ac:dyDescent="0.2">
      <c r="A14" s="13" t="s">
        <v>785</v>
      </c>
      <c r="B14" s="13" t="s">
        <v>786</v>
      </c>
      <c r="C14" s="14" t="s">
        <v>797</v>
      </c>
      <c r="D14" s="15" t="s">
        <v>798</v>
      </c>
      <c r="E14" s="22">
        <v>3</v>
      </c>
      <c r="F14" s="17" t="s">
        <v>140</v>
      </c>
      <c r="G14" s="15"/>
      <c r="H14" s="15"/>
    </row>
    <row r="15" spans="1:8" ht="18" customHeight="1" x14ac:dyDescent="0.2">
      <c r="A15" s="12" t="s">
        <v>799</v>
      </c>
      <c r="B15" s="12" t="s">
        <v>800</v>
      </c>
      <c r="C15" s="12"/>
      <c r="D15" s="12"/>
      <c r="E15" s="12"/>
      <c r="F15" s="12"/>
      <c r="G15" s="12"/>
      <c r="H15" s="12"/>
    </row>
    <row r="16" spans="1:8" ht="30" hidden="1" customHeight="1" x14ac:dyDescent="0.2">
      <c r="A16" s="13" t="s">
        <v>799</v>
      </c>
      <c r="B16" s="13" t="s">
        <v>800</v>
      </c>
      <c r="C16" s="14" t="s">
        <v>801</v>
      </c>
      <c r="D16" s="15" t="s">
        <v>802</v>
      </c>
      <c r="E16" s="21">
        <v>1</v>
      </c>
      <c r="F16" s="17" t="s">
        <v>140</v>
      </c>
      <c r="G16" s="15"/>
      <c r="H16" s="15"/>
    </row>
    <row r="17" spans="1:8" ht="30" hidden="1" customHeight="1" x14ac:dyDescent="0.2">
      <c r="A17" s="18" t="s">
        <v>799</v>
      </c>
      <c r="B17" s="18" t="s">
        <v>800</v>
      </c>
      <c r="C17" s="19" t="s">
        <v>803</v>
      </c>
      <c r="D17" s="20" t="s">
        <v>804</v>
      </c>
      <c r="E17" s="21">
        <v>1</v>
      </c>
      <c r="F17" s="17" t="s">
        <v>140</v>
      </c>
      <c r="G17" s="20"/>
      <c r="H17" s="20"/>
    </row>
    <row r="18" spans="1:8" ht="45" customHeight="1" x14ac:dyDescent="0.2">
      <c r="A18" s="13" t="s">
        <v>799</v>
      </c>
      <c r="B18" s="13" t="s">
        <v>800</v>
      </c>
      <c r="C18" s="14" t="s">
        <v>805</v>
      </c>
      <c r="D18" s="15" t="s">
        <v>806</v>
      </c>
      <c r="E18" s="21">
        <v>1</v>
      </c>
      <c r="F18" s="17" t="s">
        <v>18</v>
      </c>
      <c r="G18" s="15" t="s">
        <v>807</v>
      </c>
      <c r="H18" s="15" t="s">
        <v>808</v>
      </c>
    </row>
    <row r="19" spans="1:8" ht="30" hidden="1" customHeight="1" x14ac:dyDescent="0.2">
      <c r="A19" s="18" t="s">
        <v>799</v>
      </c>
      <c r="B19" s="18" t="s">
        <v>800</v>
      </c>
      <c r="C19" s="19" t="s">
        <v>809</v>
      </c>
      <c r="D19" s="20" t="s">
        <v>810</v>
      </c>
      <c r="E19" s="21">
        <v>1</v>
      </c>
      <c r="F19" s="17" t="s">
        <v>140</v>
      </c>
      <c r="G19" s="20"/>
      <c r="H19" s="20"/>
    </row>
    <row r="20" spans="1:8" ht="44" customHeight="1" x14ac:dyDescent="0.2">
      <c r="A20" s="13" t="s">
        <v>799</v>
      </c>
      <c r="B20" s="13" t="s">
        <v>800</v>
      </c>
      <c r="C20" s="14" t="s">
        <v>811</v>
      </c>
      <c r="D20" s="15" t="s">
        <v>812</v>
      </c>
      <c r="E20" s="21">
        <v>1</v>
      </c>
      <c r="F20" s="17" t="s">
        <v>18</v>
      </c>
      <c r="G20" s="15" t="s">
        <v>813</v>
      </c>
      <c r="H20" s="15" t="s">
        <v>814</v>
      </c>
    </row>
    <row r="21" spans="1:8" ht="30" hidden="1" customHeight="1" x14ac:dyDescent="0.2">
      <c r="A21" s="18" t="s">
        <v>799</v>
      </c>
      <c r="B21" s="18" t="s">
        <v>800</v>
      </c>
      <c r="C21" s="19" t="s">
        <v>815</v>
      </c>
      <c r="D21" s="20" t="s">
        <v>816</v>
      </c>
      <c r="E21" s="16">
        <v>2</v>
      </c>
      <c r="F21" s="17" t="s">
        <v>140</v>
      </c>
      <c r="G21" s="20"/>
      <c r="H21" s="20"/>
    </row>
    <row r="22" spans="1:8" ht="30" hidden="1" customHeight="1" x14ac:dyDescent="0.2">
      <c r="A22" s="13" t="s">
        <v>799</v>
      </c>
      <c r="B22" s="13" t="s">
        <v>800</v>
      </c>
      <c r="C22" s="14" t="s">
        <v>817</v>
      </c>
      <c r="D22" s="15" t="s">
        <v>818</v>
      </c>
      <c r="E22" s="16">
        <v>2</v>
      </c>
      <c r="F22" s="17" t="s">
        <v>140</v>
      </c>
      <c r="G22" s="15"/>
      <c r="H22" s="15"/>
    </row>
    <row r="23" spans="1:8" ht="44" customHeight="1" x14ac:dyDescent="0.2">
      <c r="A23" s="18" t="s">
        <v>799</v>
      </c>
      <c r="B23" s="18" t="s">
        <v>800</v>
      </c>
      <c r="C23" s="19" t="s">
        <v>819</v>
      </c>
      <c r="D23" s="20" t="s">
        <v>820</v>
      </c>
      <c r="E23" s="16">
        <v>2</v>
      </c>
      <c r="F23" s="17" t="s">
        <v>18</v>
      </c>
      <c r="G23" s="20" t="s">
        <v>821</v>
      </c>
      <c r="H23" s="20" t="s">
        <v>822</v>
      </c>
    </row>
    <row r="24" spans="1:8" ht="46" customHeight="1" x14ac:dyDescent="0.2">
      <c r="A24" s="13" t="s">
        <v>799</v>
      </c>
      <c r="B24" s="13" t="s">
        <v>800</v>
      </c>
      <c r="C24" s="14" t="s">
        <v>823</v>
      </c>
      <c r="D24" s="15" t="s">
        <v>824</v>
      </c>
      <c r="E24" s="16">
        <v>2</v>
      </c>
      <c r="F24" s="17" t="s">
        <v>18</v>
      </c>
      <c r="G24" s="15" t="s">
        <v>825</v>
      </c>
      <c r="H24" s="15" t="s">
        <v>826</v>
      </c>
    </row>
    <row r="25" spans="1:8" ht="30" hidden="1" customHeight="1" x14ac:dyDescent="0.2">
      <c r="A25" s="18" t="s">
        <v>799</v>
      </c>
      <c r="B25" s="18" t="s">
        <v>800</v>
      </c>
      <c r="C25" s="19" t="s">
        <v>827</v>
      </c>
      <c r="D25" s="20" t="s">
        <v>828</v>
      </c>
      <c r="E25" s="16">
        <v>2</v>
      </c>
      <c r="F25" s="17" t="s">
        <v>140</v>
      </c>
      <c r="G25" s="20"/>
      <c r="H25" s="20"/>
    </row>
    <row r="26" spans="1:8" ht="30" hidden="1" customHeight="1" x14ac:dyDescent="0.2">
      <c r="A26" s="13" t="s">
        <v>799</v>
      </c>
      <c r="B26" s="13" t="s">
        <v>800</v>
      </c>
      <c r="C26" s="14" t="s">
        <v>829</v>
      </c>
      <c r="D26" s="15" t="s">
        <v>830</v>
      </c>
      <c r="E26" s="16">
        <v>2</v>
      </c>
      <c r="F26" s="17" t="s">
        <v>140</v>
      </c>
      <c r="G26" s="15"/>
      <c r="H26" s="15"/>
    </row>
    <row r="27" spans="1:8" ht="30" hidden="1" customHeight="1" x14ac:dyDescent="0.2">
      <c r="A27" s="18" t="s">
        <v>799</v>
      </c>
      <c r="B27" s="18" t="s">
        <v>800</v>
      </c>
      <c r="C27" s="19" t="s">
        <v>831</v>
      </c>
      <c r="D27" s="20" t="s">
        <v>832</v>
      </c>
      <c r="E27" s="22">
        <v>3</v>
      </c>
      <c r="F27" s="17" t="s">
        <v>140</v>
      </c>
      <c r="G27" s="20"/>
      <c r="H27" s="20"/>
    </row>
    <row r="28" spans="1:8" ht="30" hidden="1" customHeight="1" x14ac:dyDescent="0.2">
      <c r="A28" s="13" t="s">
        <v>799</v>
      </c>
      <c r="B28" s="13" t="s">
        <v>800</v>
      </c>
      <c r="C28" s="14" t="s">
        <v>833</v>
      </c>
      <c r="D28" s="15" t="s">
        <v>834</v>
      </c>
      <c r="E28" s="22">
        <v>3</v>
      </c>
      <c r="F28" s="17" t="s">
        <v>140</v>
      </c>
      <c r="G28" s="15"/>
      <c r="H28" s="15"/>
    </row>
    <row r="29" spans="1:8" ht="30" hidden="1" customHeight="1" x14ac:dyDescent="0.2">
      <c r="A29" s="18" t="s">
        <v>799</v>
      </c>
      <c r="B29" s="18" t="s">
        <v>800</v>
      </c>
      <c r="C29" s="19" t="s">
        <v>835</v>
      </c>
      <c r="D29" s="20" t="s">
        <v>836</v>
      </c>
      <c r="E29" s="22">
        <v>3</v>
      </c>
      <c r="F29" s="17" t="s">
        <v>140</v>
      </c>
      <c r="G29" s="20"/>
      <c r="H29" s="20"/>
    </row>
    <row r="30" spans="1:8" ht="30" hidden="1" customHeight="1" x14ac:dyDescent="0.2">
      <c r="A30" s="13" t="s">
        <v>799</v>
      </c>
      <c r="B30" s="13" t="s">
        <v>800</v>
      </c>
      <c r="C30" s="14" t="s">
        <v>837</v>
      </c>
      <c r="D30" s="15" t="s">
        <v>838</v>
      </c>
      <c r="E30" s="22">
        <v>3</v>
      </c>
      <c r="F30" s="17" t="s">
        <v>140</v>
      </c>
      <c r="G30" s="15"/>
      <c r="H30" s="15"/>
    </row>
    <row r="31" spans="1:8" ht="30" hidden="1" customHeight="1" x14ac:dyDescent="0.2">
      <c r="A31" s="18" t="s">
        <v>799</v>
      </c>
      <c r="B31" s="18" t="s">
        <v>800</v>
      </c>
      <c r="C31" s="19" t="s">
        <v>839</v>
      </c>
      <c r="D31" s="20" t="s">
        <v>840</v>
      </c>
      <c r="E31" s="22">
        <v>3</v>
      </c>
      <c r="F31" s="17" t="s">
        <v>140</v>
      </c>
      <c r="G31" s="20"/>
      <c r="H31" s="20"/>
    </row>
    <row r="32" spans="1:8" ht="18" customHeight="1" x14ac:dyDescent="0.2">
      <c r="A32" s="12" t="s">
        <v>841</v>
      </c>
      <c r="B32" s="12" t="s">
        <v>842</v>
      </c>
      <c r="C32" s="12"/>
      <c r="D32" s="12"/>
      <c r="E32" s="12"/>
      <c r="F32" s="12"/>
      <c r="G32" s="12"/>
      <c r="H32" s="12"/>
    </row>
    <row r="33" spans="1:8" ht="30" hidden="1" customHeight="1" x14ac:dyDescent="0.2">
      <c r="A33" s="13" t="s">
        <v>841</v>
      </c>
      <c r="B33" s="13" t="s">
        <v>842</v>
      </c>
      <c r="C33" s="14" t="s">
        <v>843</v>
      </c>
      <c r="D33" s="15" t="s">
        <v>844</v>
      </c>
      <c r="E33" s="16">
        <v>2</v>
      </c>
      <c r="F33" s="17" t="s">
        <v>140</v>
      </c>
      <c r="G33" s="15"/>
      <c r="H33" s="15"/>
    </row>
    <row r="34" spans="1:8" ht="30" hidden="1" customHeight="1" x14ac:dyDescent="0.2">
      <c r="A34" s="18" t="s">
        <v>841</v>
      </c>
      <c r="B34" s="18" t="s">
        <v>842</v>
      </c>
      <c r="C34" s="19" t="s">
        <v>845</v>
      </c>
      <c r="D34" s="20" t="s">
        <v>846</v>
      </c>
      <c r="E34" s="16">
        <v>2</v>
      </c>
      <c r="F34" s="17" t="s">
        <v>140</v>
      </c>
      <c r="G34" s="20"/>
      <c r="H34" s="20"/>
    </row>
    <row r="35" spans="1:8" ht="30" hidden="1" customHeight="1" x14ac:dyDescent="0.2">
      <c r="A35" s="13" t="s">
        <v>841</v>
      </c>
      <c r="B35" s="13" t="s">
        <v>842</v>
      </c>
      <c r="C35" s="14" t="s">
        <v>847</v>
      </c>
      <c r="D35" s="15" t="s">
        <v>848</v>
      </c>
      <c r="E35" s="16">
        <v>2</v>
      </c>
      <c r="F35" s="17" t="s">
        <v>140</v>
      </c>
      <c r="G35" s="15"/>
      <c r="H35" s="15"/>
    </row>
    <row r="36" spans="1:8" ht="30" hidden="1" customHeight="1" x14ac:dyDescent="0.2">
      <c r="A36" s="18" t="s">
        <v>841</v>
      </c>
      <c r="B36" s="18" t="s">
        <v>842</v>
      </c>
      <c r="C36" s="19" t="s">
        <v>849</v>
      </c>
      <c r="D36" s="20" t="s">
        <v>850</v>
      </c>
      <c r="E36" s="16">
        <v>2</v>
      </c>
      <c r="F36" s="17" t="s">
        <v>140</v>
      </c>
      <c r="G36" s="20"/>
      <c r="H36" s="20"/>
    </row>
    <row r="37" spans="1:8" ht="30" hidden="1" customHeight="1" x14ac:dyDescent="0.2">
      <c r="A37" s="13" t="s">
        <v>841</v>
      </c>
      <c r="B37" s="13" t="s">
        <v>842</v>
      </c>
      <c r="C37" s="14" t="s">
        <v>851</v>
      </c>
      <c r="D37" s="15" t="s">
        <v>852</v>
      </c>
      <c r="E37" s="16">
        <v>2</v>
      </c>
      <c r="F37" s="17" t="s">
        <v>140</v>
      </c>
      <c r="G37" s="15"/>
      <c r="H37" s="15"/>
    </row>
    <row r="38" spans="1:8" ht="18" customHeight="1" x14ac:dyDescent="0.2">
      <c r="A38" s="12" t="s">
        <v>853</v>
      </c>
      <c r="B38" s="12" t="s">
        <v>854</v>
      </c>
      <c r="C38" s="12"/>
      <c r="D38" s="12"/>
      <c r="E38" s="12"/>
      <c r="F38" s="12"/>
      <c r="G38" s="12"/>
      <c r="H38" s="12"/>
    </row>
    <row r="39" spans="1:8" ht="30" hidden="1" customHeight="1" x14ac:dyDescent="0.2">
      <c r="A39" s="13" t="s">
        <v>853</v>
      </c>
      <c r="B39" s="13" t="s">
        <v>854</v>
      </c>
      <c r="C39" s="14" t="s">
        <v>855</v>
      </c>
      <c r="D39" s="15" t="s">
        <v>856</v>
      </c>
      <c r="E39" s="16">
        <v>2</v>
      </c>
      <c r="F39" s="17" t="s">
        <v>140</v>
      </c>
      <c r="G39" s="15"/>
      <c r="H39" s="15"/>
    </row>
    <row r="40" spans="1:8" ht="30" hidden="1" customHeight="1" x14ac:dyDescent="0.2">
      <c r="A40" s="18" t="s">
        <v>853</v>
      </c>
      <c r="B40" s="18" t="s">
        <v>854</v>
      </c>
      <c r="C40" s="19" t="s">
        <v>857</v>
      </c>
      <c r="D40" s="20" t="s">
        <v>858</v>
      </c>
      <c r="E40" s="16">
        <v>2</v>
      </c>
      <c r="F40" s="17" t="s">
        <v>140</v>
      </c>
      <c r="G40" s="20"/>
      <c r="H40" s="20"/>
    </row>
    <row r="41" spans="1:8" ht="18" customHeight="1" x14ac:dyDescent="0.2">
      <c r="A41" s="12" t="s">
        <v>859</v>
      </c>
      <c r="B41" s="12" t="s">
        <v>860</v>
      </c>
      <c r="C41" s="12"/>
      <c r="D41" s="12"/>
      <c r="E41" s="12"/>
      <c r="F41" s="12"/>
      <c r="G41" s="12"/>
      <c r="H41" s="12"/>
    </row>
    <row r="42" spans="1:8" ht="30" hidden="1" customHeight="1" x14ac:dyDescent="0.2">
      <c r="A42" s="13" t="s">
        <v>859</v>
      </c>
      <c r="B42" s="13" t="s">
        <v>860</v>
      </c>
      <c r="C42" s="14" t="s">
        <v>861</v>
      </c>
      <c r="D42" s="15" t="s">
        <v>862</v>
      </c>
      <c r="E42" s="16">
        <v>2</v>
      </c>
      <c r="F42" s="17" t="s">
        <v>140</v>
      </c>
      <c r="G42" s="15"/>
      <c r="H42" s="15"/>
    </row>
    <row r="43" spans="1:8" ht="30" hidden="1" customHeight="1" x14ac:dyDescent="0.2">
      <c r="A43" s="18" t="s">
        <v>859</v>
      </c>
      <c r="B43" s="18" t="s">
        <v>860</v>
      </c>
      <c r="C43" s="19" t="s">
        <v>863</v>
      </c>
      <c r="D43" s="20" t="s">
        <v>864</v>
      </c>
      <c r="E43" s="16">
        <v>2</v>
      </c>
      <c r="F43" s="17" t="s">
        <v>140</v>
      </c>
      <c r="G43" s="20"/>
      <c r="H43" s="20"/>
    </row>
    <row r="44" spans="1:8" ht="1" hidden="1" customHeight="1" x14ac:dyDescent="0.2">
      <c r="A44" s="13" t="s">
        <v>859</v>
      </c>
      <c r="B44" s="13" t="s">
        <v>860</v>
      </c>
      <c r="C44" s="14" t="s">
        <v>865</v>
      </c>
      <c r="D44" s="15" t="s">
        <v>866</v>
      </c>
      <c r="E44" s="16">
        <v>2</v>
      </c>
      <c r="F44" s="17" t="s">
        <v>140</v>
      </c>
      <c r="G44" s="15"/>
      <c r="H44" s="15"/>
    </row>
  </sheetData>
  <autoFilter ref="F1:F44" xr:uid="{00000000-0009-0000-0000-00000A000000}">
    <filterColumn colId="0">
      <filters blank="1">
        <filter val="Not Started"/>
      </filters>
    </filterColumn>
  </autoFilter>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H32"/>
  <sheetViews>
    <sheetView zoomScale="70" zoomScaleNormal="70" workbookViewId="0">
      <pane ySplit="1" topLeftCell="A23" activePane="bottomLeft" state="frozen"/>
      <selection pane="bottomLeft" activeCell="F9" sqref="F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867</v>
      </c>
      <c r="B2" s="12" t="s">
        <v>868</v>
      </c>
      <c r="C2" s="12"/>
      <c r="D2" s="12"/>
      <c r="E2" s="12"/>
      <c r="F2" s="12"/>
      <c r="G2" s="12"/>
      <c r="H2" s="12"/>
    </row>
    <row r="3" spans="1:8" ht="59" customHeight="1" x14ac:dyDescent="0.2">
      <c r="A3" s="13" t="s">
        <v>867</v>
      </c>
      <c r="B3" s="13" t="s">
        <v>868</v>
      </c>
      <c r="C3" s="14" t="s">
        <v>869</v>
      </c>
      <c r="D3" s="15" t="s">
        <v>870</v>
      </c>
      <c r="E3" s="16">
        <v>2</v>
      </c>
      <c r="F3" s="17" t="s">
        <v>18</v>
      </c>
      <c r="G3" s="15" t="s">
        <v>871</v>
      </c>
      <c r="H3" s="15"/>
    </row>
    <row r="4" spans="1:8" ht="61" customHeight="1" x14ac:dyDescent="0.2">
      <c r="A4" s="18" t="s">
        <v>867</v>
      </c>
      <c r="B4" s="18" t="s">
        <v>868</v>
      </c>
      <c r="C4" s="19" t="s">
        <v>872</v>
      </c>
      <c r="D4" s="20" t="s">
        <v>873</v>
      </c>
      <c r="E4" s="16">
        <v>2</v>
      </c>
      <c r="F4" s="17" t="s">
        <v>18</v>
      </c>
      <c r="G4" s="20" t="s">
        <v>874</v>
      </c>
      <c r="H4" s="20" t="s">
        <v>875</v>
      </c>
    </row>
    <row r="5" spans="1:8" ht="45" customHeight="1" x14ac:dyDescent="0.2">
      <c r="A5" s="13" t="s">
        <v>867</v>
      </c>
      <c r="B5" s="13" t="s">
        <v>868</v>
      </c>
      <c r="C5" s="14" t="s">
        <v>876</v>
      </c>
      <c r="D5" s="15" t="s">
        <v>877</v>
      </c>
      <c r="E5" s="22">
        <v>3</v>
      </c>
      <c r="F5" s="17" t="s">
        <v>18</v>
      </c>
      <c r="G5" s="15" t="s">
        <v>878</v>
      </c>
      <c r="H5" s="15"/>
    </row>
    <row r="6" spans="1:8" ht="62" customHeight="1" x14ac:dyDescent="0.2">
      <c r="A6" s="18" t="s">
        <v>867</v>
      </c>
      <c r="B6" s="18" t="s">
        <v>868</v>
      </c>
      <c r="C6" s="19" t="s">
        <v>879</v>
      </c>
      <c r="D6" s="20" t="s">
        <v>880</v>
      </c>
      <c r="E6" s="22">
        <v>3</v>
      </c>
      <c r="F6" s="17" t="s">
        <v>18</v>
      </c>
      <c r="G6" s="20" t="s">
        <v>22</v>
      </c>
      <c r="H6" s="20"/>
    </row>
    <row r="7" spans="1:8" ht="18" customHeight="1" x14ac:dyDescent="0.2">
      <c r="A7" s="12" t="s">
        <v>881</v>
      </c>
      <c r="B7" s="12" t="s">
        <v>882</v>
      </c>
      <c r="C7" s="12"/>
      <c r="D7" s="12"/>
      <c r="E7" s="12"/>
      <c r="F7" s="12"/>
      <c r="G7" s="12"/>
      <c r="H7" s="12"/>
    </row>
    <row r="8" spans="1:8" ht="63" customHeight="1" x14ac:dyDescent="0.2">
      <c r="A8" s="13" t="s">
        <v>881</v>
      </c>
      <c r="B8" s="13" t="s">
        <v>882</v>
      </c>
      <c r="C8" s="14" t="s">
        <v>883</v>
      </c>
      <c r="D8" s="15" t="s">
        <v>884</v>
      </c>
      <c r="E8" s="16">
        <v>2</v>
      </c>
      <c r="F8" s="17" t="s">
        <v>18</v>
      </c>
      <c r="G8" s="15" t="s">
        <v>885</v>
      </c>
      <c r="H8" s="15" t="s">
        <v>886</v>
      </c>
    </row>
    <row r="9" spans="1:8" ht="52" customHeight="1" x14ac:dyDescent="0.2">
      <c r="A9" s="18" t="s">
        <v>881</v>
      </c>
      <c r="B9" s="18" t="s">
        <v>882</v>
      </c>
      <c r="C9" s="19" t="s">
        <v>887</v>
      </c>
      <c r="D9" s="20" t="s">
        <v>888</v>
      </c>
      <c r="E9" s="16">
        <v>2</v>
      </c>
      <c r="F9" s="17" t="s">
        <v>18</v>
      </c>
      <c r="G9" s="20" t="s">
        <v>889</v>
      </c>
      <c r="H9" s="20"/>
    </row>
    <row r="10" spans="1:8" ht="48" customHeight="1" x14ac:dyDescent="0.2">
      <c r="A10" s="13" t="s">
        <v>881</v>
      </c>
      <c r="B10" s="13" t="s">
        <v>882</v>
      </c>
      <c r="C10" s="14" t="s">
        <v>890</v>
      </c>
      <c r="D10" s="15" t="s">
        <v>891</v>
      </c>
      <c r="E10" s="16">
        <v>2</v>
      </c>
      <c r="F10" s="17" t="s">
        <v>18</v>
      </c>
      <c r="G10" s="15" t="s">
        <v>892</v>
      </c>
      <c r="H10" s="15" t="s">
        <v>893</v>
      </c>
    </row>
    <row r="11" spans="1:8" ht="48" customHeight="1" x14ac:dyDescent="0.2">
      <c r="A11" s="18" t="s">
        <v>881</v>
      </c>
      <c r="B11" s="18" t="s">
        <v>882</v>
      </c>
      <c r="C11" s="19" t="s">
        <v>894</v>
      </c>
      <c r="D11" s="20" t="s">
        <v>895</v>
      </c>
      <c r="E11" s="22">
        <v>3</v>
      </c>
      <c r="F11" s="17" t="s">
        <v>18</v>
      </c>
      <c r="G11" s="20" t="s">
        <v>896</v>
      </c>
      <c r="H11" s="20" t="s">
        <v>897</v>
      </c>
    </row>
    <row r="12" spans="1:8" ht="48" customHeight="1" x14ac:dyDescent="0.2">
      <c r="A12" s="13" t="s">
        <v>881</v>
      </c>
      <c r="B12" s="13" t="s">
        <v>882</v>
      </c>
      <c r="C12" s="14" t="s">
        <v>898</v>
      </c>
      <c r="D12" s="15" t="s">
        <v>899</v>
      </c>
      <c r="E12" s="22">
        <v>3</v>
      </c>
      <c r="F12" s="17" t="s">
        <v>18</v>
      </c>
      <c r="G12" s="15" t="s">
        <v>900</v>
      </c>
      <c r="H12" s="15" t="s">
        <v>901</v>
      </c>
    </row>
    <row r="13" spans="1:8" ht="18" customHeight="1" x14ac:dyDescent="0.2">
      <c r="A13" s="12" t="s">
        <v>902</v>
      </c>
      <c r="B13" s="12" t="s">
        <v>903</v>
      </c>
      <c r="C13" s="12"/>
      <c r="D13" s="12"/>
      <c r="E13" s="12"/>
      <c r="F13" s="12"/>
      <c r="G13" s="12"/>
      <c r="H13" s="12"/>
    </row>
    <row r="14" spans="1:8" ht="49" customHeight="1" x14ac:dyDescent="0.2">
      <c r="A14" s="13" t="s">
        <v>902</v>
      </c>
      <c r="B14" s="13" t="s">
        <v>903</v>
      </c>
      <c r="C14" s="14" t="s">
        <v>904</v>
      </c>
      <c r="D14" s="15" t="s">
        <v>905</v>
      </c>
      <c r="E14" s="21">
        <v>1</v>
      </c>
      <c r="F14" s="17" t="s">
        <v>18</v>
      </c>
      <c r="G14" s="15" t="s">
        <v>906</v>
      </c>
      <c r="H14" s="15" t="s">
        <v>907</v>
      </c>
    </row>
    <row r="15" spans="1:8" ht="30" customHeight="1" x14ac:dyDescent="0.2">
      <c r="A15" s="18" t="s">
        <v>902</v>
      </c>
      <c r="B15" s="18" t="s">
        <v>903</v>
      </c>
      <c r="C15" s="19" t="s">
        <v>908</v>
      </c>
      <c r="D15" s="20" t="s">
        <v>909</v>
      </c>
      <c r="E15" s="21">
        <v>1</v>
      </c>
      <c r="F15" s="17" t="s">
        <v>18</v>
      </c>
      <c r="G15" s="20" t="s">
        <v>910</v>
      </c>
      <c r="H15" s="20" t="s">
        <v>911</v>
      </c>
    </row>
    <row r="16" spans="1:8" ht="49" customHeight="1" x14ac:dyDescent="0.2">
      <c r="A16" s="13" t="s">
        <v>902</v>
      </c>
      <c r="B16" s="13" t="s">
        <v>903</v>
      </c>
      <c r="C16" s="14" t="s">
        <v>912</v>
      </c>
      <c r="D16" s="15" t="s">
        <v>913</v>
      </c>
      <c r="E16" s="16">
        <v>2</v>
      </c>
      <c r="F16" s="17" t="s">
        <v>18</v>
      </c>
      <c r="G16" s="15" t="s">
        <v>914</v>
      </c>
      <c r="H16" s="15" t="s">
        <v>915</v>
      </c>
    </row>
    <row r="17" spans="1:8" ht="30" customHeight="1" x14ac:dyDescent="0.2">
      <c r="A17" s="18" t="s">
        <v>902</v>
      </c>
      <c r="B17" s="18" t="s">
        <v>903</v>
      </c>
      <c r="C17" s="19" t="s">
        <v>916</v>
      </c>
      <c r="D17" s="20" t="s">
        <v>917</v>
      </c>
      <c r="E17" s="22">
        <v>3</v>
      </c>
      <c r="F17" s="17" t="s">
        <v>18</v>
      </c>
      <c r="G17" s="20" t="s">
        <v>918</v>
      </c>
      <c r="H17" s="20" t="s">
        <v>919</v>
      </c>
    </row>
    <row r="18" spans="1:8" ht="69" customHeight="1" x14ac:dyDescent="0.2">
      <c r="A18" s="13" t="s">
        <v>902</v>
      </c>
      <c r="B18" s="13" t="s">
        <v>903</v>
      </c>
      <c r="C18" s="14" t="s">
        <v>920</v>
      </c>
      <c r="D18" s="15" t="s">
        <v>921</v>
      </c>
      <c r="E18" s="22">
        <v>3</v>
      </c>
      <c r="F18" s="17" t="s">
        <v>18</v>
      </c>
      <c r="G18" s="15" t="s">
        <v>922</v>
      </c>
      <c r="H18" s="15" t="s">
        <v>923</v>
      </c>
    </row>
    <row r="19" spans="1:8" ht="20" customHeight="1" x14ac:dyDescent="0.2">
      <c r="A19" s="12" t="s">
        <v>924</v>
      </c>
      <c r="B19" s="12" t="s">
        <v>925</v>
      </c>
      <c r="C19" s="12"/>
      <c r="D19" s="12"/>
      <c r="E19" s="12"/>
      <c r="F19" s="12"/>
      <c r="G19" s="12"/>
      <c r="H19" s="12"/>
    </row>
    <row r="20" spans="1:8" ht="53" customHeight="1" x14ac:dyDescent="0.2">
      <c r="A20" s="13" t="s">
        <v>924</v>
      </c>
      <c r="B20" s="13" t="s">
        <v>925</v>
      </c>
      <c r="C20" s="14" t="s">
        <v>926</v>
      </c>
      <c r="D20" s="15" t="s">
        <v>927</v>
      </c>
      <c r="E20" s="21">
        <v>1</v>
      </c>
      <c r="F20" s="17" t="s">
        <v>18</v>
      </c>
      <c r="G20" s="15" t="s">
        <v>928</v>
      </c>
      <c r="H20" s="15" t="s">
        <v>929</v>
      </c>
    </row>
    <row r="21" spans="1:8" ht="30" customHeight="1" x14ac:dyDescent="0.2">
      <c r="A21" s="18" t="s">
        <v>924</v>
      </c>
      <c r="B21" s="18" t="s">
        <v>925</v>
      </c>
      <c r="C21" s="19" t="s">
        <v>930</v>
      </c>
      <c r="D21" s="20" t="s">
        <v>931</v>
      </c>
      <c r="E21" s="16">
        <v>2</v>
      </c>
      <c r="F21" s="17" t="s">
        <v>18</v>
      </c>
      <c r="G21" s="20" t="s">
        <v>932</v>
      </c>
      <c r="H21" s="20" t="s">
        <v>933</v>
      </c>
    </row>
    <row r="22" spans="1:8" ht="38" customHeight="1" x14ac:dyDescent="0.2">
      <c r="A22" s="13" t="s">
        <v>924</v>
      </c>
      <c r="B22" s="13" t="s">
        <v>925</v>
      </c>
      <c r="C22" s="14" t="s">
        <v>934</v>
      </c>
      <c r="D22" s="15" t="s">
        <v>935</v>
      </c>
      <c r="E22" s="16">
        <v>2</v>
      </c>
      <c r="F22" s="17" t="s">
        <v>18</v>
      </c>
      <c r="G22" s="15" t="s">
        <v>936</v>
      </c>
      <c r="H22" s="15" t="s">
        <v>937</v>
      </c>
    </row>
    <row r="23" spans="1:8" ht="35" customHeight="1" x14ac:dyDescent="0.2">
      <c r="A23" s="18" t="s">
        <v>924</v>
      </c>
      <c r="B23" s="18" t="s">
        <v>925</v>
      </c>
      <c r="C23" s="19" t="s">
        <v>938</v>
      </c>
      <c r="D23" s="20" t="s">
        <v>939</v>
      </c>
      <c r="E23" s="16">
        <v>2</v>
      </c>
      <c r="F23" s="17" t="s">
        <v>18</v>
      </c>
      <c r="G23" s="20" t="s">
        <v>940</v>
      </c>
      <c r="H23" s="20" t="s">
        <v>941</v>
      </c>
    </row>
    <row r="24" spans="1:8" ht="18" customHeight="1" x14ac:dyDescent="0.2">
      <c r="A24" s="12" t="s">
        <v>942</v>
      </c>
      <c r="B24" s="12" t="s">
        <v>943</v>
      </c>
      <c r="C24" s="12"/>
      <c r="D24" s="12"/>
      <c r="E24" s="12"/>
      <c r="F24" s="12"/>
      <c r="G24" s="12"/>
      <c r="H24" s="12"/>
    </row>
    <row r="25" spans="1:8" ht="48" customHeight="1" x14ac:dyDescent="0.2">
      <c r="A25" s="13" t="s">
        <v>942</v>
      </c>
      <c r="B25" s="13" t="s">
        <v>943</v>
      </c>
      <c r="C25" s="14" t="s">
        <v>944</v>
      </c>
      <c r="D25" s="15" t="s">
        <v>945</v>
      </c>
      <c r="E25" s="16">
        <v>2</v>
      </c>
      <c r="F25" s="17" t="s">
        <v>18</v>
      </c>
      <c r="G25" s="15" t="s">
        <v>946</v>
      </c>
      <c r="H25" s="15" t="s">
        <v>947</v>
      </c>
    </row>
    <row r="26" spans="1:8" ht="36" customHeight="1" x14ac:dyDescent="0.2">
      <c r="A26" s="18" t="s">
        <v>942</v>
      </c>
      <c r="B26" s="18" t="s">
        <v>943</v>
      </c>
      <c r="C26" s="19" t="s">
        <v>948</v>
      </c>
      <c r="D26" s="20" t="s">
        <v>949</v>
      </c>
      <c r="E26" s="22">
        <v>3</v>
      </c>
      <c r="F26" s="17" t="s">
        <v>18</v>
      </c>
      <c r="G26" s="20" t="s">
        <v>950</v>
      </c>
      <c r="H26" s="20" t="s">
        <v>947</v>
      </c>
    </row>
    <row r="27" spans="1:8" ht="18" customHeight="1" x14ac:dyDescent="0.2">
      <c r="A27" s="12" t="s">
        <v>951</v>
      </c>
      <c r="B27" s="12" t="s">
        <v>952</v>
      </c>
      <c r="C27" s="12"/>
      <c r="D27" s="12"/>
      <c r="E27" s="12"/>
      <c r="F27" s="12"/>
      <c r="G27" s="12"/>
      <c r="H27" s="12"/>
    </row>
    <row r="28" spans="1:8" ht="42" customHeight="1" x14ac:dyDescent="0.2">
      <c r="A28" s="13" t="s">
        <v>951</v>
      </c>
      <c r="B28" s="13" t="s">
        <v>952</v>
      </c>
      <c r="C28" s="14" t="s">
        <v>953</v>
      </c>
      <c r="D28" s="15" t="s">
        <v>954</v>
      </c>
      <c r="E28" s="16">
        <v>2</v>
      </c>
      <c r="F28" s="17" t="s">
        <v>18</v>
      </c>
      <c r="G28" s="15" t="s">
        <v>955</v>
      </c>
      <c r="H28" s="15" t="s">
        <v>956</v>
      </c>
    </row>
    <row r="29" spans="1:8" ht="30" hidden="1" customHeight="1" x14ac:dyDescent="0.2">
      <c r="A29" s="18" t="s">
        <v>951</v>
      </c>
      <c r="B29" s="18" t="s">
        <v>952</v>
      </c>
      <c r="C29" s="19" t="s">
        <v>957</v>
      </c>
      <c r="D29" s="20" t="s">
        <v>958</v>
      </c>
      <c r="E29" s="22">
        <v>3</v>
      </c>
      <c r="F29" s="17" t="s">
        <v>140</v>
      </c>
      <c r="G29" s="20"/>
      <c r="H29" s="20"/>
    </row>
    <row r="30" spans="1:8" ht="18" customHeight="1" x14ac:dyDescent="0.2">
      <c r="A30" s="12" t="s">
        <v>959</v>
      </c>
      <c r="B30" s="12" t="s">
        <v>960</v>
      </c>
      <c r="C30" s="12"/>
      <c r="D30" s="12"/>
      <c r="E30" s="12"/>
      <c r="F30" s="12"/>
      <c r="G30" s="12"/>
      <c r="H30" s="12"/>
    </row>
    <row r="31" spans="1:8" ht="30" hidden="1" customHeight="1" x14ac:dyDescent="0.2">
      <c r="A31" s="13" t="s">
        <v>959</v>
      </c>
      <c r="B31" s="13" t="s">
        <v>960</v>
      </c>
      <c r="C31" s="14" t="s">
        <v>961</v>
      </c>
      <c r="D31" s="15" t="s">
        <v>962</v>
      </c>
      <c r="E31" s="22">
        <v>3</v>
      </c>
      <c r="F31" s="17" t="s">
        <v>140</v>
      </c>
      <c r="G31" s="15"/>
      <c r="H31" s="15"/>
    </row>
    <row r="32" spans="1:8" ht="51" customHeight="1" x14ac:dyDescent="0.2">
      <c r="A32" s="18" t="s">
        <v>959</v>
      </c>
      <c r="B32" s="18" t="s">
        <v>960</v>
      </c>
      <c r="C32" s="19" t="s">
        <v>963</v>
      </c>
      <c r="D32" s="20" t="s">
        <v>964</v>
      </c>
      <c r="E32" s="22">
        <v>3</v>
      </c>
      <c r="F32" s="17" t="s">
        <v>18</v>
      </c>
      <c r="G32" s="20" t="s">
        <v>965</v>
      </c>
      <c r="H32" s="20" t="s">
        <v>966</v>
      </c>
    </row>
  </sheetData>
  <autoFilter ref="F1:F32" xr:uid="{00000000-0009-0000-0000-00000B000000}">
    <filterColumn colId="0">
      <filters blank="1">
        <filter val="Not Started"/>
      </filters>
    </filterColumn>
  </autoFilter>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H16"/>
  <sheetViews>
    <sheetView zoomScale="70" zoomScaleNormal="70" workbookViewId="0">
      <pane ySplit="1" topLeftCell="A2" activePane="bottomLeft" state="frozen"/>
      <selection pane="bottomLeft" activeCell="F16" sqref="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967</v>
      </c>
      <c r="B2" s="12" t="s">
        <v>968</v>
      </c>
      <c r="C2" s="12"/>
      <c r="D2" s="12"/>
      <c r="E2" s="12"/>
      <c r="F2" s="12"/>
      <c r="G2" s="12"/>
      <c r="H2" s="12"/>
    </row>
    <row r="3" spans="1:8" ht="30" customHeight="1" x14ac:dyDescent="0.2">
      <c r="A3" s="13" t="s">
        <v>967</v>
      </c>
      <c r="B3" s="13" t="s">
        <v>968</v>
      </c>
      <c r="C3" s="14" t="s">
        <v>969</v>
      </c>
      <c r="D3" s="15" t="s">
        <v>970</v>
      </c>
      <c r="E3" s="21">
        <v>1</v>
      </c>
      <c r="F3" s="17" t="s">
        <v>18</v>
      </c>
      <c r="G3" s="15" t="s">
        <v>971</v>
      </c>
      <c r="H3" s="15"/>
    </row>
    <row r="4" spans="1:8" ht="30" customHeight="1" x14ac:dyDescent="0.2">
      <c r="A4" s="18" t="s">
        <v>967</v>
      </c>
      <c r="B4" s="18" t="s">
        <v>968</v>
      </c>
      <c r="C4" s="19" t="s">
        <v>972</v>
      </c>
      <c r="D4" s="20" t="s">
        <v>973</v>
      </c>
      <c r="E4" s="16">
        <v>2</v>
      </c>
      <c r="F4" s="17" t="s">
        <v>18</v>
      </c>
      <c r="G4" s="20" t="s">
        <v>974</v>
      </c>
      <c r="H4" s="20"/>
    </row>
    <row r="5" spans="1:8" ht="30" hidden="1" customHeight="1" x14ac:dyDescent="0.2">
      <c r="A5" s="13" t="s">
        <v>967</v>
      </c>
      <c r="B5" s="13" t="s">
        <v>968</v>
      </c>
      <c r="C5" s="14" t="s">
        <v>975</v>
      </c>
      <c r="D5" s="15" t="s">
        <v>976</v>
      </c>
      <c r="E5" s="16">
        <v>2</v>
      </c>
      <c r="F5" s="17" t="s">
        <v>140</v>
      </c>
      <c r="G5" s="15"/>
      <c r="H5" s="15"/>
    </row>
    <row r="6" spans="1:8" ht="30" customHeight="1" x14ac:dyDescent="0.2">
      <c r="A6" s="18" t="s">
        <v>967</v>
      </c>
      <c r="B6" s="18" t="s">
        <v>968</v>
      </c>
      <c r="C6" s="19" t="s">
        <v>977</v>
      </c>
      <c r="D6" s="20" t="s">
        <v>978</v>
      </c>
      <c r="E6" s="22">
        <v>3</v>
      </c>
      <c r="F6" s="17" t="s">
        <v>18</v>
      </c>
      <c r="G6" s="20" t="s">
        <v>979</v>
      </c>
      <c r="H6" s="20"/>
    </row>
    <row r="7" spans="1:8" ht="30" hidden="1" customHeight="1" x14ac:dyDescent="0.2">
      <c r="A7" s="13" t="s">
        <v>967</v>
      </c>
      <c r="B7" s="13" t="s">
        <v>968</v>
      </c>
      <c r="C7" s="14" t="s">
        <v>980</v>
      </c>
      <c r="D7" s="15" t="s">
        <v>981</v>
      </c>
      <c r="E7" s="22">
        <v>3</v>
      </c>
      <c r="F7" s="17" t="s">
        <v>140</v>
      </c>
      <c r="G7" s="15"/>
      <c r="H7" s="15"/>
    </row>
    <row r="8" spans="1:8" ht="18" customHeight="1" x14ac:dyDescent="0.2">
      <c r="A8" s="12" t="s">
        <v>982</v>
      </c>
      <c r="B8" s="12" t="s">
        <v>983</v>
      </c>
      <c r="C8" s="12"/>
      <c r="D8" s="12"/>
      <c r="E8" s="12"/>
      <c r="F8" s="12"/>
      <c r="G8" s="12"/>
      <c r="H8" s="12"/>
    </row>
    <row r="9" spans="1:8" ht="30" customHeight="1" x14ac:dyDescent="0.2">
      <c r="A9" s="13" t="s">
        <v>982</v>
      </c>
      <c r="B9" s="13" t="s">
        <v>983</v>
      </c>
      <c r="C9" s="14" t="s">
        <v>984</v>
      </c>
      <c r="D9" s="15" t="s">
        <v>985</v>
      </c>
      <c r="E9" s="21">
        <v>1</v>
      </c>
      <c r="F9" s="17" t="s">
        <v>18</v>
      </c>
      <c r="G9" s="15" t="s">
        <v>986</v>
      </c>
      <c r="H9" s="15" t="s">
        <v>987</v>
      </c>
    </row>
    <row r="10" spans="1:8" ht="51" customHeight="1" x14ac:dyDescent="0.2">
      <c r="A10" s="18" t="s">
        <v>982</v>
      </c>
      <c r="B10" s="18" t="s">
        <v>983</v>
      </c>
      <c r="C10" s="19" t="s">
        <v>988</v>
      </c>
      <c r="D10" s="20" t="s">
        <v>989</v>
      </c>
      <c r="E10" s="21">
        <v>1</v>
      </c>
      <c r="F10" s="17" t="s">
        <v>18</v>
      </c>
      <c r="G10" s="20" t="s">
        <v>990</v>
      </c>
      <c r="H10" s="20"/>
    </row>
    <row r="11" spans="1:8" ht="18" customHeight="1" x14ac:dyDescent="0.2">
      <c r="A11" s="12" t="s">
        <v>991</v>
      </c>
      <c r="B11" s="12" t="s">
        <v>992</v>
      </c>
      <c r="C11" s="12"/>
      <c r="D11" s="12"/>
      <c r="E11" s="12"/>
      <c r="F11" s="12"/>
      <c r="G11" s="12"/>
      <c r="H11" s="12"/>
    </row>
    <row r="12" spans="1:8" ht="30" customHeight="1" x14ac:dyDescent="0.2">
      <c r="A12" s="13" t="s">
        <v>991</v>
      </c>
      <c r="B12" s="13" t="s">
        <v>992</v>
      </c>
      <c r="C12" s="14" t="s">
        <v>993</v>
      </c>
      <c r="D12" s="15" t="s">
        <v>994</v>
      </c>
      <c r="E12" s="16">
        <v>2</v>
      </c>
      <c r="F12" s="17" t="s">
        <v>18</v>
      </c>
      <c r="G12" s="15" t="s">
        <v>995</v>
      </c>
      <c r="H12" s="15"/>
    </row>
    <row r="13" spans="1:8" ht="50" customHeight="1" x14ac:dyDescent="0.2">
      <c r="A13" s="18" t="s">
        <v>991</v>
      </c>
      <c r="B13" s="18" t="s">
        <v>992</v>
      </c>
      <c r="C13" s="19" t="s">
        <v>996</v>
      </c>
      <c r="D13" s="20" t="s">
        <v>997</v>
      </c>
      <c r="E13" s="16">
        <v>2</v>
      </c>
      <c r="F13" s="17" t="s">
        <v>18</v>
      </c>
      <c r="G13" s="20" t="s">
        <v>998</v>
      </c>
      <c r="H13" s="20" t="s">
        <v>999</v>
      </c>
    </row>
    <row r="14" spans="1:8" ht="48" customHeight="1" x14ac:dyDescent="0.2">
      <c r="A14" s="13" t="s">
        <v>991</v>
      </c>
      <c r="B14" s="13" t="s">
        <v>992</v>
      </c>
      <c r="C14" s="14" t="s">
        <v>1000</v>
      </c>
      <c r="D14" s="15" t="s">
        <v>1001</v>
      </c>
      <c r="E14" s="16">
        <v>2</v>
      </c>
      <c r="F14" s="17" t="s">
        <v>18</v>
      </c>
      <c r="G14" s="15" t="s">
        <v>1002</v>
      </c>
      <c r="H14" s="15"/>
    </row>
    <row r="15" spans="1:8" ht="39" customHeight="1" x14ac:dyDescent="0.2">
      <c r="A15" s="18" t="s">
        <v>991</v>
      </c>
      <c r="B15" s="18" t="s">
        <v>992</v>
      </c>
      <c r="C15" s="19" t="s">
        <v>1003</v>
      </c>
      <c r="D15" s="20" t="s">
        <v>1004</v>
      </c>
      <c r="E15" s="16">
        <v>2</v>
      </c>
      <c r="F15" s="17" t="s">
        <v>18</v>
      </c>
      <c r="G15" s="20" t="s">
        <v>1005</v>
      </c>
      <c r="H15" s="20"/>
    </row>
    <row r="16" spans="1:8" ht="37" customHeight="1" x14ac:dyDescent="0.2">
      <c r="A16" s="13" t="s">
        <v>991</v>
      </c>
      <c r="B16" s="13" t="s">
        <v>992</v>
      </c>
      <c r="C16" s="14" t="s">
        <v>1006</v>
      </c>
      <c r="D16" s="15" t="s">
        <v>1007</v>
      </c>
      <c r="E16" s="22">
        <v>3</v>
      </c>
      <c r="F16" s="17" t="s">
        <v>18</v>
      </c>
      <c r="G16" s="15" t="s">
        <v>1008</v>
      </c>
      <c r="H16" s="15"/>
    </row>
  </sheetData>
  <autoFilter ref="F1:F16" xr:uid="{00000000-0009-0000-0000-00000C000000}">
    <filterColumn colId="0">
      <filters blank="1">
        <filter val="Not Started"/>
      </filters>
    </filterColumn>
  </autoFilter>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topLeftCell="C1" zoomScale="85" zoomScaleNormal="85" workbookViewId="0">
      <pane ySplit="1" topLeftCell="A2" activePane="bottomLeft" state="frozen"/>
      <selection pane="bottomLeft" activeCell="F25" sqref="F2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8</v>
      </c>
      <c r="B2" s="12" t="s">
        <v>9</v>
      </c>
      <c r="C2" s="12"/>
      <c r="D2" s="12"/>
      <c r="E2" s="12"/>
      <c r="F2" s="12"/>
      <c r="G2" s="12"/>
      <c r="H2" s="12"/>
    </row>
    <row r="3" spans="1:8" ht="30" customHeight="1" x14ac:dyDescent="0.2">
      <c r="A3" s="13" t="s">
        <v>8</v>
      </c>
      <c r="B3" s="13" t="s">
        <v>9</v>
      </c>
      <c r="C3" s="14" t="s">
        <v>10</v>
      </c>
      <c r="D3" s="15" t="s">
        <v>11</v>
      </c>
      <c r="E3" s="16">
        <v>2</v>
      </c>
      <c r="F3" s="17" t="s">
        <v>18</v>
      </c>
      <c r="G3" s="15" t="s">
        <v>12</v>
      </c>
      <c r="H3" s="15"/>
    </row>
    <row r="4" spans="1:8" ht="45" customHeight="1" x14ac:dyDescent="0.2">
      <c r="A4" s="18" t="s">
        <v>8</v>
      </c>
      <c r="B4" s="18" t="s">
        <v>9</v>
      </c>
      <c r="C4" s="19" t="s">
        <v>13</v>
      </c>
      <c r="D4" s="20" t="s">
        <v>14</v>
      </c>
      <c r="E4" s="22">
        <v>3</v>
      </c>
      <c r="F4" s="17" t="s">
        <v>18</v>
      </c>
      <c r="G4" s="20" t="s">
        <v>15</v>
      </c>
      <c r="H4" s="20"/>
    </row>
    <row r="5" spans="1:8" ht="30" customHeight="1" x14ac:dyDescent="0.2">
      <c r="A5" s="13" t="s">
        <v>8</v>
      </c>
      <c r="B5" s="13" t="s">
        <v>9</v>
      </c>
      <c r="C5" s="14" t="s">
        <v>16</v>
      </c>
      <c r="D5" s="15" t="s">
        <v>17</v>
      </c>
      <c r="E5" s="22">
        <v>3</v>
      </c>
      <c r="F5" s="17" t="s">
        <v>18</v>
      </c>
      <c r="G5" s="15" t="s">
        <v>19</v>
      </c>
      <c r="H5" s="15"/>
    </row>
    <row r="6" spans="1:8" ht="30" customHeight="1" x14ac:dyDescent="0.2">
      <c r="A6" s="18" t="s">
        <v>8</v>
      </c>
      <c r="B6" s="18" t="s">
        <v>9</v>
      </c>
      <c r="C6" s="19" t="s">
        <v>20</v>
      </c>
      <c r="D6" s="20" t="s">
        <v>21</v>
      </c>
      <c r="E6" s="22">
        <v>3</v>
      </c>
      <c r="F6" s="17" t="s">
        <v>18</v>
      </c>
      <c r="G6" s="20" t="s">
        <v>22</v>
      </c>
      <c r="H6" s="20"/>
    </row>
    <row r="7" spans="1:8" ht="18" customHeight="1" x14ac:dyDescent="0.2">
      <c r="A7" s="12" t="s">
        <v>23</v>
      </c>
      <c r="B7" s="12" t="s">
        <v>24</v>
      </c>
      <c r="C7" s="12"/>
      <c r="D7" s="12"/>
      <c r="E7" s="12"/>
      <c r="F7" s="12"/>
      <c r="G7" s="12"/>
      <c r="H7" s="12"/>
    </row>
    <row r="8" spans="1:8" ht="50" customHeight="1" x14ac:dyDescent="0.2">
      <c r="A8" s="13" t="s">
        <v>23</v>
      </c>
      <c r="B8" s="13" t="s">
        <v>24</v>
      </c>
      <c r="C8" s="14" t="s">
        <v>25</v>
      </c>
      <c r="D8" s="15" t="s">
        <v>26</v>
      </c>
      <c r="E8" s="16">
        <v>2</v>
      </c>
      <c r="F8" s="17" t="s">
        <v>18</v>
      </c>
      <c r="G8" s="15" t="s">
        <v>27</v>
      </c>
      <c r="H8" s="15" t="s">
        <v>28</v>
      </c>
    </row>
    <row r="9" spans="1:8" ht="30" customHeight="1" x14ac:dyDescent="0.2">
      <c r="A9" s="18" t="s">
        <v>23</v>
      </c>
      <c r="B9" s="18" t="s">
        <v>24</v>
      </c>
      <c r="C9" s="19" t="s">
        <v>29</v>
      </c>
      <c r="D9" s="20" t="s">
        <v>30</v>
      </c>
      <c r="E9" s="16">
        <v>2</v>
      </c>
      <c r="F9" s="17" t="s">
        <v>18</v>
      </c>
      <c r="G9" s="20" t="s">
        <v>31</v>
      </c>
      <c r="H9" s="20" t="s">
        <v>32</v>
      </c>
    </row>
    <row r="10" spans="1:8" ht="30" customHeight="1" x14ac:dyDescent="0.2">
      <c r="A10" s="13" t="s">
        <v>23</v>
      </c>
      <c r="B10" s="13" t="s">
        <v>24</v>
      </c>
      <c r="C10" s="14" t="s">
        <v>33</v>
      </c>
      <c r="D10" s="15" t="s">
        <v>34</v>
      </c>
      <c r="E10" s="16">
        <v>2</v>
      </c>
      <c r="F10" s="17" t="s">
        <v>18</v>
      </c>
      <c r="G10" s="15" t="s">
        <v>35</v>
      </c>
      <c r="H10" s="15" t="s">
        <v>36</v>
      </c>
    </row>
    <row r="11" spans="1:8" ht="30" customHeight="1" x14ac:dyDescent="0.2">
      <c r="A11" s="18" t="s">
        <v>23</v>
      </c>
      <c r="B11" s="18" t="s">
        <v>24</v>
      </c>
      <c r="C11" s="19" t="s">
        <v>37</v>
      </c>
      <c r="D11" s="20" t="s">
        <v>38</v>
      </c>
      <c r="E11" s="16">
        <v>2</v>
      </c>
      <c r="F11" s="17" t="s">
        <v>18</v>
      </c>
      <c r="G11" s="20" t="s">
        <v>39</v>
      </c>
      <c r="H11" s="20" t="s">
        <v>40</v>
      </c>
    </row>
    <row r="12" spans="1:8" ht="30" customHeight="1" x14ac:dyDescent="0.2">
      <c r="A12" s="13" t="s">
        <v>23</v>
      </c>
      <c r="B12" s="13" t="s">
        <v>24</v>
      </c>
      <c r="C12" s="14" t="s">
        <v>41</v>
      </c>
      <c r="D12" s="15" t="s">
        <v>42</v>
      </c>
      <c r="E12" s="16">
        <v>2</v>
      </c>
      <c r="F12" s="17" t="s">
        <v>18</v>
      </c>
      <c r="G12" s="15" t="s">
        <v>43</v>
      </c>
      <c r="H12" s="15" t="s">
        <v>44</v>
      </c>
    </row>
    <row r="13" spans="1:8" ht="30" customHeight="1" x14ac:dyDescent="0.2">
      <c r="A13" s="18" t="s">
        <v>23</v>
      </c>
      <c r="B13" s="18" t="s">
        <v>24</v>
      </c>
      <c r="C13" s="19" t="s">
        <v>45</v>
      </c>
      <c r="D13" s="20" t="s">
        <v>46</v>
      </c>
      <c r="E13" s="22">
        <v>3</v>
      </c>
      <c r="F13" s="17" t="s">
        <v>18</v>
      </c>
      <c r="G13" s="20" t="s">
        <v>47</v>
      </c>
      <c r="H13" s="20"/>
    </row>
    <row r="14" spans="1:8" ht="18" customHeight="1" x14ac:dyDescent="0.2">
      <c r="A14" s="12" t="s">
        <v>48</v>
      </c>
      <c r="B14" s="12" t="s">
        <v>49</v>
      </c>
      <c r="C14" s="12"/>
      <c r="D14" s="12"/>
      <c r="E14" s="12"/>
      <c r="F14" s="12"/>
      <c r="G14" s="12"/>
      <c r="H14" s="12"/>
    </row>
    <row r="15" spans="1:8" ht="50" customHeight="1" x14ac:dyDescent="0.2">
      <c r="A15" s="13" t="s">
        <v>48</v>
      </c>
      <c r="B15" s="13" t="s">
        <v>49</v>
      </c>
      <c r="C15" s="14" t="s">
        <v>50</v>
      </c>
      <c r="D15" s="15" t="s">
        <v>51</v>
      </c>
      <c r="E15" s="16">
        <v>2</v>
      </c>
      <c r="F15" s="17" t="s">
        <v>18</v>
      </c>
      <c r="G15" s="15" t="s">
        <v>52</v>
      </c>
      <c r="H15" s="15" t="s">
        <v>53</v>
      </c>
    </row>
    <row r="16" spans="1:8" ht="30" customHeight="1" x14ac:dyDescent="0.2">
      <c r="A16" s="18" t="s">
        <v>48</v>
      </c>
      <c r="B16" s="18" t="s">
        <v>49</v>
      </c>
      <c r="C16" s="19" t="s">
        <v>54</v>
      </c>
      <c r="D16" s="20" t="s">
        <v>55</v>
      </c>
      <c r="E16" s="16">
        <v>2</v>
      </c>
      <c r="F16" s="17" t="s">
        <v>18</v>
      </c>
      <c r="G16" s="20" t="s">
        <v>56</v>
      </c>
      <c r="H16" s="20" t="s">
        <v>57</v>
      </c>
    </row>
    <row r="17" spans="1:8" ht="48" customHeight="1" x14ac:dyDescent="0.2">
      <c r="A17" s="13" t="s">
        <v>48</v>
      </c>
      <c r="B17" s="13" t="s">
        <v>49</v>
      </c>
      <c r="C17" s="14" t="s">
        <v>58</v>
      </c>
      <c r="D17" s="15" t="s">
        <v>59</v>
      </c>
      <c r="E17" s="22">
        <v>3</v>
      </c>
      <c r="F17" s="17" t="s">
        <v>18</v>
      </c>
      <c r="G17" s="15" t="s">
        <v>60</v>
      </c>
      <c r="H17" s="15"/>
    </row>
    <row r="18" spans="1:8" ht="30" customHeight="1" x14ac:dyDescent="0.2">
      <c r="A18" s="18" t="s">
        <v>48</v>
      </c>
      <c r="B18" s="18" t="s">
        <v>49</v>
      </c>
      <c r="C18" s="19" t="s">
        <v>61</v>
      </c>
      <c r="D18" s="20" t="s">
        <v>62</v>
      </c>
      <c r="E18" s="22">
        <v>3</v>
      </c>
      <c r="F18" s="17" t="s">
        <v>18</v>
      </c>
      <c r="G18" s="20" t="s">
        <v>63</v>
      </c>
      <c r="H18" s="20"/>
    </row>
    <row r="19" spans="1:8" ht="18" customHeight="1" x14ac:dyDescent="0.2">
      <c r="A19" s="12" t="s">
        <v>64</v>
      </c>
      <c r="B19" s="12" t="s">
        <v>65</v>
      </c>
      <c r="C19" s="12"/>
      <c r="D19" s="12"/>
      <c r="E19" s="12"/>
      <c r="F19" s="12"/>
      <c r="G19" s="12"/>
      <c r="H19" s="12"/>
    </row>
    <row r="20" spans="1:8" ht="51" customHeight="1" x14ac:dyDescent="0.2">
      <c r="A20" s="13" t="s">
        <v>64</v>
      </c>
      <c r="B20" s="13" t="s">
        <v>65</v>
      </c>
      <c r="C20" s="14" t="s">
        <v>66</v>
      </c>
      <c r="D20" s="15" t="s">
        <v>67</v>
      </c>
      <c r="E20" s="21">
        <v>1</v>
      </c>
      <c r="F20" s="17" t="s">
        <v>18</v>
      </c>
      <c r="G20" s="15" t="s">
        <v>68</v>
      </c>
      <c r="H20" s="15" t="s">
        <v>69</v>
      </c>
    </row>
    <row r="21" spans="1:8" ht="30" customHeight="1" x14ac:dyDescent="0.2">
      <c r="A21" s="18" t="s">
        <v>64</v>
      </c>
      <c r="B21" s="18" t="s">
        <v>65</v>
      </c>
      <c r="C21" s="19" t="s">
        <v>70</v>
      </c>
      <c r="D21" s="20" t="s">
        <v>71</v>
      </c>
      <c r="E21" s="16">
        <v>2</v>
      </c>
      <c r="F21" s="17" t="s">
        <v>18</v>
      </c>
      <c r="G21" s="20" t="s">
        <v>72</v>
      </c>
      <c r="H21" s="20" t="s">
        <v>73</v>
      </c>
    </row>
    <row r="22" spans="1:8" ht="30" customHeight="1" x14ac:dyDescent="0.2">
      <c r="A22" s="13" t="s">
        <v>64</v>
      </c>
      <c r="B22" s="13" t="s">
        <v>65</v>
      </c>
      <c r="C22" s="14" t="s">
        <v>74</v>
      </c>
      <c r="D22" s="15" t="s">
        <v>75</v>
      </c>
      <c r="E22" s="16">
        <v>2</v>
      </c>
      <c r="F22" s="17" t="s">
        <v>18</v>
      </c>
      <c r="G22" s="15" t="s">
        <v>76</v>
      </c>
      <c r="H22" s="15" t="s">
        <v>77</v>
      </c>
    </row>
    <row r="23" spans="1:8" ht="30" customHeight="1" x14ac:dyDescent="0.2">
      <c r="A23" s="18" t="s">
        <v>64</v>
      </c>
      <c r="B23" s="18" t="s">
        <v>65</v>
      </c>
      <c r="C23" s="19" t="s">
        <v>78</v>
      </c>
      <c r="D23" s="20" t="s">
        <v>79</v>
      </c>
      <c r="E23" s="16">
        <v>2</v>
      </c>
      <c r="F23" s="17" t="s">
        <v>18</v>
      </c>
      <c r="G23" s="20" t="s">
        <v>80</v>
      </c>
      <c r="H23" s="20" t="s">
        <v>81</v>
      </c>
    </row>
    <row r="24" spans="1:8" ht="52" customHeight="1" x14ac:dyDescent="0.2">
      <c r="A24" s="13" t="s">
        <v>64</v>
      </c>
      <c r="B24" s="13" t="s">
        <v>65</v>
      </c>
      <c r="C24" s="14" t="s">
        <v>82</v>
      </c>
      <c r="D24" s="15" t="s">
        <v>83</v>
      </c>
      <c r="E24" s="16">
        <v>2</v>
      </c>
      <c r="F24" s="17" t="s">
        <v>18</v>
      </c>
      <c r="G24" s="15" t="s">
        <v>84</v>
      </c>
      <c r="H24" s="15" t="s">
        <v>85</v>
      </c>
    </row>
    <row r="25" spans="1:8" ht="30" customHeight="1" x14ac:dyDescent="0.2">
      <c r="A25" s="18" t="s">
        <v>64</v>
      </c>
      <c r="B25" s="18" t="s">
        <v>65</v>
      </c>
      <c r="C25" s="19" t="s">
        <v>86</v>
      </c>
      <c r="D25" s="20" t="s">
        <v>87</v>
      </c>
      <c r="E25" s="22">
        <v>3</v>
      </c>
      <c r="F25" s="17" t="s">
        <v>18</v>
      </c>
      <c r="G25" s="20" t="s">
        <v>88</v>
      </c>
      <c r="H25" s="20" t="s">
        <v>89</v>
      </c>
    </row>
    <row r="26" spans="1:8" ht="30" customHeight="1" x14ac:dyDescent="0.2">
      <c r="A26" s="13" t="s">
        <v>64</v>
      </c>
      <c r="B26" s="13" t="s">
        <v>65</v>
      </c>
      <c r="C26" s="14" t="s">
        <v>90</v>
      </c>
      <c r="D26" s="15" t="s">
        <v>91</v>
      </c>
      <c r="E26" s="22">
        <v>3</v>
      </c>
      <c r="F26" s="17" t="s">
        <v>18</v>
      </c>
      <c r="G26" s="15" t="s">
        <v>92</v>
      </c>
      <c r="H26" s="15" t="s">
        <v>93</v>
      </c>
    </row>
  </sheetData>
  <autoFilter ref="F1:F26" xr:uid="{00000000-0009-0000-0000-00000D000000}"/>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7"/>
  <sheetViews>
    <sheetView topLeftCell="D1" zoomScale="85" zoomScaleNormal="85" workbookViewId="0">
      <pane ySplit="1" topLeftCell="A5" activePane="bottomLeft" state="frozen"/>
      <selection pane="bottomLeft" activeCell="F16" sqref="F1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3" ht="28" customHeight="1" x14ac:dyDescent="0.2">
      <c r="A1" s="11" t="s">
        <v>0</v>
      </c>
      <c r="B1" s="11" t="s">
        <v>1</v>
      </c>
      <c r="C1" s="11" t="s">
        <v>2</v>
      </c>
      <c r="D1" s="11" t="s">
        <v>3</v>
      </c>
      <c r="E1" s="11" t="s">
        <v>4</v>
      </c>
      <c r="F1" s="11" t="s">
        <v>5</v>
      </c>
      <c r="G1" s="11" t="s">
        <v>6</v>
      </c>
      <c r="H1" s="11" t="s">
        <v>7</v>
      </c>
    </row>
    <row r="2" spans="1:13" ht="18" customHeight="1" x14ac:dyDescent="0.2">
      <c r="A2" s="12" t="s">
        <v>1009</v>
      </c>
      <c r="B2" s="12" t="s">
        <v>1010</v>
      </c>
      <c r="C2" s="12"/>
      <c r="D2" s="12"/>
      <c r="E2" s="12"/>
      <c r="F2" s="12"/>
      <c r="G2" s="12"/>
      <c r="H2" s="12"/>
    </row>
    <row r="3" spans="1:13" ht="30" customHeight="1" x14ac:dyDescent="0.2">
      <c r="A3" s="13" t="s">
        <v>1009</v>
      </c>
      <c r="B3" s="13" t="s">
        <v>1010</v>
      </c>
      <c r="C3" s="14" t="s">
        <v>1011</v>
      </c>
      <c r="D3" s="15" t="s">
        <v>1012</v>
      </c>
      <c r="E3" s="16">
        <v>2</v>
      </c>
      <c r="F3" s="17" t="s">
        <v>18</v>
      </c>
      <c r="G3" s="30" t="s">
        <v>1013</v>
      </c>
      <c r="H3" s="15"/>
      <c r="I3" s="40"/>
      <c r="J3" s="37"/>
      <c r="K3" s="37"/>
      <c r="L3" s="37"/>
      <c r="M3" s="37"/>
    </row>
    <row r="4" spans="1:13" ht="30" customHeight="1" x14ac:dyDescent="0.2">
      <c r="A4" s="18" t="s">
        <v>1009</v>
      </c>
      <c r="B4" s="18" t="s">
        <v>1010</v>
      </c>
      <c r="C4" s="19" t="s">
        <v>1014</v>
      </c>
      <c r="D4" s="20" t="s">
        <v>1015</v>
      </c>
      <c r="E4" s="16">
        <v>2</v>
      </c>
      <c r="F4" s="17" t="s">
        <v>18</v>
      </c>
      <c r="G4" s="30" t="s">
        <v>1016</v>
      </c>
      <c r="H4" s="20"/>
      <c r="I4" s="41"/>
      <c r="J4" s="37"/>
      <c r="K4" s="37"/>
      <c r="L4" s="37"/>
      <c r="M4" s="37"/>
    </row>
    <row r="5" spans="1:13" ht="18" customHeight="1" x14ac:dyDescent="0.2">
      <c r="A5" s="12" t="s">
        <v>1017</v>
      </c>
      <c r="B5" s="12" t="s">
        <v>1018</v>
      </c>
      <c r="C5" s="12"/>
      <c r="D5" s="12"/>
      <c r="E5" s="12"/>
      <c r="F5" s="12"/>
      <c r="G5" s="28"/>
      <c r="H5" s="12"/>
    </row>
    <row r="6" spans="1:13" ht="30" customHeight="1" x14ac:dyDescent="0.2">
      <c r="A6" s="13" t="s">
        <v>1017</v>
      </c>
      <c r="B6" s="13" t="s">
        <v>1018</v>
      </c>
      <c r="C6" s="14" t="s">
        <v>1019</v>
      </c>
      <c r="D6" s="15" t="s">
        <v>1020</v>
      </c>
      <c r="E6" s="21">
        <v>1</v>
      </c>
      <c r="F6" s="17" t="s">
        <v>18</v>
      </c>
      <c r="G6" s="26" t="s">
        <v>1021</v>
      </c>
      <c r="H6" s="15"/>
      <c r="I6" s="40"/>
      <c r="J6" s="37"/>
      <c r="K6" s="37"/>
      <c r="L6" s="37"/>
      <c r="M6" s="37"/>
    </row>
    <row r="7" spans="1:13" ht="30" customHeight="1" x14ac:dyDescent="0.2">
      <c r="A7" s="18" t="s">
        <v>1017</v>
      </c>
      <c r="B7" s="18" t="s">
        <v>1018</v>
      </c>
      <c r="C7" s="19" t="s">
        <v>1022</v>
      </c>
      <c r="D7" s="20" t="s">
        <v>1023</v>
      </c>
      <c r="E7" s="16">
        <v>2</v>
      </c>
      <c r="F7" s="17" t="s">
        <v>140</v>
      </c>
      <c r="G7" s="30"/>
      <c r="H7" s="20"/>
      <c r="I7" s="42"/>
      <c r="J7" s="37"/>
      <c r="K7" s="37"/>
      <c r="L7" s="37"/>
      <c r="M7" s="37"/>
    </row>
    <row r="8" spans="1:13" ht="30" customHeight="1" x14ac:dyDescent="0.2">
      <c r="A8" s="13" t="s">
        <v>1017</v>
      </c>
      <c r="B8" s="13" t="s">
        <v>1018</v>
      </c>
      <c r="C8" s="14" t="s">
        <v>1024</v>
      </c>
      <c r="D8" s="15" t="s">
        <v>1025</v>
      </c>
      <c r="E8" s="16">
        <v>2</v>
      </c>
      <c r="F8" s="17" t="s">
        <v>18</v>
      </c>
      <c r="G8" s="26" t="s">
        <v>1026</v>
      </c>
      <c r="H8" s="15"/>
      <c r="I8" s="42"/>
      <c r="J8" s="37"/>
      <c r="K8" s="37"/>
      <c r="L8" s="37"/>
      <c r="M8" s="37"/>
    </row>
    <row r="9" spans="1:13" ht="30" customHeight="1" x14ac:dyDescent="0.2">
      <c r="A9" s="18" t="s">
        <v>1017</v>
      </c>
      <c r="B9" s="18" t="s">
        <v>1018</v>
      </c>
      <c r="C9" s="19" t="s">
        <v>1027</v>
      </c>
      <c r="D9" s="20" t="s">
        <v>1028</v>
      </c>
      <c r="E9" s="16">
        <v>2</v>
      </c>
      <c r="F9" s="17" t="s">
        <v>18</v>
      </c>
      <c r="G9" s="30" t="s">
        <v>1029</v>
      </c>
      <c r="H9" s="20"/>
      <c r="I9" s="42"/>
      <c r="J9" s="37"/>
      <c r="K9" s="37"/>
      <c r="L9" s="37"/>
      <c r="M9" s="37"/>
    </row>
    <row r="10" spans="1:13" ht="30" customHeight="1" x14ac:dyDescent="0.2">
      <c r="A10" s="13" t="s">
        <v>1017</v>
      </c>
      <c r="B10" s="13" t="s">
        <v>1018</v>
      </c>
      <c r="C10" s="14" t="s">
        <v>1030</v>
      </c>
      <c r="D10" s="15" t="s">
        <v>1031</v>
      </c>
      <c r="E10" s="22">
        <v>3</v>
      </c>
      <c r="F10" s="17" t="s">
        <v>140</v>
      </c>
      <c r="G10" s="15"/>
      <c r="H10" s="15"/>
    </row>
    <row r="11" spans="1:13" ht="30" customHeight="1" x14ac:dyDescent="0.2">
      <c r="A11" s="18" t="s">
        <v>1017</v>
      </c>
      <c r="B11" s="18" t="s">
        <v>1018</v>
      </c>
      <c r="C11" s="19" t="s">
        <v>1032</v>
      </c>
      <c r="D11" s="20" t="s">
        <v>1033</v>
      </c>
      <c r="E11" s="22">
        <v>3</v>
      </c>
      <c r="F11" s="17" t="s">
        <v>140</v>
      </c>
      <c r="G11" s="20"/>
      <c r="H11" s="20"/>
    </row>
    <row r="12" spans="1:13" ht="30" customHeight="1" x14ac:dyDescent="0.2">
      <c r="A12" s="13" t="s">
        <v>1017</v>
      </c>
      <c r="B12" s="13" t="s">
        <v>1018</v>
      </c>
      <c r="C12" s="14" t="s">
        <v>1034</v>
      </c>
      <c r="D12" s="15" t="s">
        <v>1035</v>
      </c>
      <c r="E12" s="22">
        <v>3</v>
      </c>
      <c r="F12" s="17" t="s">
        <v>18</v>
      </c>
      <c r="G12" s="26" t="s">
        <v>1036</v>
      </c>
      <c r="H12" s="15"/>
      <c r="I12" s="44"/>
      <c r="J12" s="37"/>
      <c r="K12" s="37"/>
      <c r="L12" s="37"/>
      <c r="M12" s="37"/>
    </row>
    <row r="13" spans="1:13" ht="30" customHeight="1" x14ac:dyDescent="0.2">
      <c r="A13" s="18" t="s">
        <v>1017</v>
      </c>
      <c r="B13" s="18" t="s">
        <v>1018</v>
      </c>
      <c r="C13" s="19" t="s">
        <v>1037</v>
      </c>
      <c r="D13" s="20" t="s">
        <v>1038</v>
      </c>
      <c r="E13" s="22">
        <v>3</v>
      </c>
      <c r="F13" s="17" t="s">
        <v>18</v>
      </c>
      <c r="G13" s="30" t="s">
        <v>1039</v>
      </c>
      <c r="H13" s="20"/>
      <c r="I13" s="40"/>
      <c r="J13" s="37"/>
      <c r="K13" s="37"/>
      <c r="L13" s="37"/>
      <c r="M13" s="37"/>
    </row>
    <row r="14" spans="1:13" ht="18" customHeight="1" x14ac:dyDescent="0.2">
      <c r="A14" s="12" t="s">
        <v>1040</v>
      </c>
      <c r="B14" s="12" t="s">
        <v>1041</v>
      </c>
      <c r="C14" s="12"/>
      <c r="D14" s="12"/>
      <c r="E14" s="12"/>
      <c r="F14" s="12"/>
      <c r="G14" s="28"/>
      <c r="H14" s="12"/>
    </row>
    <row r="15" spans="1:13" ht="30" customHeight="1" x14ac:dyDescent="0.2">
      <c r="A15" s="13" t="s">
        <v>1040</v>
      </c>
      <c r="B15" s="13" t="s">
        <v>1041</v>
      </c>
      <c r="C15" s="14" t="s">
        <v>1042</v>
      </c>
      <c r="D15" s="15" t="s">
        <v>1043</v>
      </c>
      <c r="E15" s="21">
        <v>1</v>
      </c>
      <c r="F15" s="17" t="s">
        <v>140</v>
      </c>
      <c r="G15" s="15"/>
      <c r="H15" s="15"/>
    </row>
    <row r="16" spans="1:13" ht="30" customHeight="1" x14ac:dyDescent="0.2">
      <c r="A16" s="18" t="s">
        <v>1040</v>
      </c>
      <c r="B16" s="18" t="s">
        <v>1041</v>
      </c>
      <c r="C16" s="19" t="s">
        <v>1044</v>
      </c>
      <c r="D16" s="20" t="s">
        <v>1045</v>
      </c>
      <c r="E16" s="16">
        <v>2</v>
      </c>
      <c r="F16" s="17" t="s">
        <v>18</v>
      </c>
      <c r="G16" s="30" t="s">
        <v>1046</v>
      </c>
      <c r="H16" s="20" t="s">
        <v>1047</v>
      </c>
      <c r="I16" s="43"/>
      <c r="J16" s="37"/>
      <c r="K16" s="37"/>
      <c r="L16" s="37"/>
      <c r="M16" s="37"/>
    </row>
    <row r="17" spans="1:8" ht="30" customHeight="1" x14ac:dyDescent="0.2">
      <c r="A17" s="13" t="s">
        <v>1040</v>
      </c>
      <c r="B17" s="13" t="s">
        <v>1041</v>
      </c>
      <c r="C17" s="14" t="s">
        <v>1048</v>
      </c>
      <c r="D17" s="15" t="s">
        <v>1049</v>
      </c>
      <c r="E17" s="16">
        <v>2</v>
      </c>
      <c r="F17" s="17" t="s">
        <v>140</v>
      </c>
      <c r="G17" s="15"/>
      <c r="H17" s="15"/>
    </row>
  </sheetData>
  <mergeCells count="8">
    <mergeCell ref="I3:M4"/>
    <mergeCell ref="I7:M7"/>
    <mergeCell ref="I6:M6"/>
    <mergeCell ref="I16:M16"/>
    <mergeCell ref="I13:M13"/>
    <mergeCell ref="I8:M8"/>
    <mergeCell ref="I9:M9"/>
    <mergeCell ref="I12:M12"/>
  </mergeCells>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6"/>
  <sheetViews>
    <sheetView topLeftCell="D1" zoomScale="75" zoomScaleNormal="75" workbookViewId="0">
      <pane ySplit="1" topLeftCell="A2" activePane="bottomLeft" state="frozen"/>
      <selection pane="bottomLeft" activeCell="F12" sqref="F1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2" ht="28" customHeight="1" x14ac:dyDescent="0.2">
      <c r="A1" s="11" t="s">
        <v>0</v>
      </c>
      <c r="B1" s="11" t="s">
        <v>1</v>
      </c>
      <c r="C1" s="11" t="s">
        <v>2</v>
      </c>
      <c r="D1" s="11" t="s">
        <v>3</v>
      </c>
      <c r="E1" s="11" t="s">
        <v>4</v>
      </c>
      <c r="F1" s="11" t="s">
        <v>5</v>
      </c>
      <c r="G1" s="11" t="s">
        <v>6</v>
      </c>
      <c r="H1" s="11" t="s">
        <v>7</v>
      </c>
    </row>
    <row r="2" spans="1:12" ht="18" customHeight="1" x14ac:dyDescent="0.2">
      <c r="A2" s="12" t="s">
        <v>1050</v>
      </c>
      <c r="B2" s="12" t="s">
        <v>1051</v>
      </c>
      <c r="C2" s="12"/>
      <c r="D2" s="12"/>
      <c r="E2" s="12"/>
      <c r="F2" s="12"/>
      <c r="G2" s="12"/>
      <c r="H2" s="12"/>
    </row>
    <row r="3" spans="1:12" ht="30" customHeight="1" x14ac:dyDescent="0.2">
      <c r="A3" s="13" t="s">
        <v>1050</v>
      </c>
      <c r="B3" s="13" t="s">
        <v>1051</v>
      </c>
      <c r="C3" s="14" t="s">
        <v>1052</v>
      </c>
      <c r="D3" s="15" t="s">
        <v>1053</v>
      </c>
      <c r="E3" s="21">
        <v>1</v>
      </c>
      <c r="F3" s="17" t="s">
        <v>18</v>
      </c>
      <c r="G3" s="30" t="s">
        <v>1054</v>
      </c>
      <c r="H3" s="15"/>
      <c r="I3" s="40"/>
      <c r="J3" s="37"/>
      <c r="K3" s="37"/>
      <c r="L3" s="37"/>
    </row>
    <row r="4" spans="1:12" ht="30" customHeight="1" x14ac:dyDescent="0.2">
      <c r="A4" s="18" t="s">
        <v>1050</v>
      </c>
      <c r="B4" s="18" t="s">
        <v>1051</v>
      </c>
      <c r="C4" s="19" t="s">
        <v>1055</v>
      </c>
      <c r="D4" s="20" t="s">
        <v>1056</v>
      </c>
      <c r="E4" s="16">
        <v>2</v>
      </c>
      <c r="F4" s="17" t="s">
        <v>18</v>
      </c>
      <c r="G4" s="30" t="s">
        <v>1057</v>
      </c>
      <c r="H4" s="20" t="s">
        <v>1058</v>
      </c>
      <c r="I4" s="41"/>
      <c r="J4" s="37"/>
      <c r="K4" s="37"/>
      <c r="L4" s="37"/>
    </row>
    <row r="5" spans="1:12" ht="30" customHeight="1" x14ac:dyDescent="0.2">
      <c r="A5" s="13" t="s">
        <v>1050</v>
      </c>
      <c r="B5" s="13" t="s">
        <v>1051</v>
      </c>
      <c r="C5" s="14" t="s">
        <v>1059</v>
      </c>
      <c r="D5" s="15" t="s">
        <v>1060</v>
      </c>
      <c r="E5" s="16">
        <v>2</v>
      </c>
      <c r="F5" s="17" t="s">
        <v>18</v>
      </c>
      <c r="G5" s="30" t="s">
        <v>1061</v>
      </c>
      <c r="H5" s="15" t="s">
        <v>1062</v>
      </c>
      <c r="I5" s="41"/>
      <c r="J5" s="37"/>
      <c r="K5" s="37"/>
      <c r="L5" s="37"/>
    </row>
    <row r="6" spans="1:12" ht="30" customHeight="1" x14ac:dyDescent="0.2">
      <c r="A6" s="18" t="s">
        <v>1050</v>
      </c>
      <c r="B6" s="18" t="s">
        <v>1051</v>
      </c>
      <c r="C6" s="19" t="s">
        <v>1063</v>
      </c>
      <c r="D6" s="20" t="s">
        <v>1064</v>
      </c>
      <c r="E6" s="22">
        <v>3</v>
      </c>
      <c r="F6" s="17" t="s">
        <v>18</v>
      </c>
      <c r="G6" s="30" t="s">
        <v>1065</v>
      </c>
      <c r="H6" s="20"/>
      <c r="I6" s="41"/>
      <c r="J6" s="37"/>
      <c r="K6" s="37"/>
      <c r="L6" s="37"/>
    </row>
    <row r="7" spans="1:12" ht="30" customHeight="1" x14ac:dyDescent="0.2">
      <c r="A7" s="13" t="s">
        <v>1050</v>
      </c>
      <c r="B7" s="13" t="s">
        <v>1051</v>
      </c>
      <c r="C7" s="14" t="s">
        <v>1066</v>
      </c>
      <c r="D7" s="15" t="s">
        <v>1067</v>
      </c>
      <c r="E7" s="22">
        <v>3</v>
      </c>
      <c r="F7" s="17" t="s">
        <v>18</v>
      </c>
      <c r="G7" s="30" t="s">
        <v>1068</v>
      </c>
      <c r="H7" s="15"/>
      <c r="I7" s="41"/>
      <c r="J7" s="37"/>
      <c r="K7" s="37"/>
      <c r="L7" s="37"/>
    </row>
    <row r="8" spans="1:12" ht="18" customHeight="1" x14ac:dyDescent="0.2">
      <c r="A8" s="12" t="s">
        <v>1069</v>
      </c>
      <c r="B8" s="12" t="s">
        <v>1070</v>
      </c>
      <c r="C8" s="12"/>
      <c r="D8" s="12"/>
      <c r="E8" s="12"/>
      <c r="F8" s="12"/>
      <c r="G8" s="12"/>
      <c r="H8" s="12"/>
    </row>
    <row r="9" spans="1:12" ht="30" customHeight="1" x14ac:dyDescent="0.2">
      <c r="A9" s="13" t="s">
        <v>1069</v>
      </c>
      <c r="B9" s="13" t="s">
        <v>1070</v>
      </c>
      <c r="C9" s="14" t="s">
        <v>1071</v>
      </c>
      <c r="D9" s="15" t="s">
        <v>1072</v>
      </c>
      <c r="E9" s="21">
        <v>1</v>
      </c>
      <c r="F9" s="17" t="s">
        <v>18</v>
      </c>
      <c r="G9" s="30" t="s">
        <v>1073</v>
      </c>
      <c r="H9" s="15" t="s">
        <v>1074</v>
      </c>
      <c r="I9" s="40"/>
      <c r="J9" s="37"/>
      <c r="K9" s="37"/>
      <c r="L9" s="37"/>
    </row>
    <row r="10" spans="1:12" ht="30" customHeight="1" x14ac:dyDescent="0.2">
      <c r="A10" s="18" t="s">
        <v>1069</v>
      </c>
      <c r="B10" s="18" t="s">
        <v>1070</v>
      </c>
      <c r="C10" s="19" t="s">
        <v>1075</v>
      </c>
      <c r="D10" s="20" t="s">
        <v>1076</v>
      </c>
      <c r="E10" s="16">
        <v>2</v>
      </c>
      <c r="F10" s="17" t="s">
        <v>140</v>
      </c>
      <c r="G10" s="20"/>
      <c r="H10" s="20"/>
      <c r="I10" s="41"/>
      <c r="J10" s="37"/>
      <c r="K10" s="37"/>
      <c r="L10" s="37"/>
    </row>
    <row r="11" spans="1:12" ht="30" customHeight="1" x14ac:dyDescent="0.2">
      <c r="A11" s="13" t="s">
        <v>1069</v>
      </c>
      <c r="B11" s="13" t="s">
        <v>1070</v>
      </c>
      <c r="C11" s="14" t="s">
        <v>1077</v>
      </c>
      <c r="D11" s="15" t="s">
        <v>1078</v>
      </c>
      <c r="E11" s="16">
        <v>2</v>
      </c>
      <c r="F11" s="17" t="s">
        <v>18</v>
      </c>
      <c r="G11" s="30" t="s">
        <v>1079</v>
      </c>
      <c r="H11" s="15" t="s">
        <v>1080</v>
      </c>
      <c r="I11" s="41"/>
      <c r="J11" s="37"/>
      <c r="K11" s="37"/>
      <c r="L11" s="37"/>
    </row>
    <row r="12" spans="1:12" ht="30" customHeight="1" x14ac:dyDescent="0.2">
      <c r="A12" s="18" t="s">
        <v>1069</v>
      </c>
      <c r="B12" s="18" t="s">
        <v>1070</v>
      </c>
      <c r="C12" s="19" t="s">
        <v>1081</v>
      </c>
      <c r="D12" s="20" t="s">
        <v>1082</v>
      </c>
      <c r="E12" s="22">
        <v>3</v>
      </c>
      <c r="F12" s="17" t="s">
        <v>140</v>
      </c>
      <c r="G12" s="20"/>
      <c r="H12" s="20"/>
    </row>
    <row r="13" spans="1:12" ht="30" customHeight="1" x14ac:dyDescent="0.2">
      <c r="A13" s="13" t="s">
        <v>1069</v>
      </c>
      <c r="B13" s="13" t="s">
        <v>1070</v>
      </c>
      <c r="C13" s="14" t="s">
        <v>1083</v>
      </c>
      <c r="D13" s="15" t="s">
        <v>1084</v>
      </c>
      <c r="E13" s="22">
        <v>3</v>
      </c>
      <c r="F13" s="17" t="s">
        <v>140</v>
      </c>
      <c r="G13" s="15"/>
      <c r="H13" s="15"/>
    </row>
    <row r="14" spans="1:12" ht="18" customHeight="1" x14ac:dyDescent="0.2">
      <c r="A14" s="12" t="s">
        <v>1085</v>
      </c>
      <c r="B14" s="12" t="s">
        <v>1086</v>
      </c>
      <c r="C14" s="12"/>
      <c r="D14" s="12"/>
      <c r="E14" s="12"/>
      <c r="F14" s="12"/>
      <c r="G14" s="12"/>
      <c r="H14" s="12"/>
    </row>
    <row r="15" spans="1:12" ht="30" customHeight="1" x14ac:dyDescent="0.2">
      <c r="A15" s="13" t="s">
        <v>1085</v>
      </c>
      <c r="B15" s="13" t="s">
        <v>1086</v>
      </c>
      <c r="C15" s="14" t="s">
        <v>1087</v>
      </c>
      <c r="D15" s="15" t="s">
        <v>1088</v>
      </c>
      <c r="E15" s="21">
        <v>1</v>
      </c>
      <c r="F15" s="17" t="s">
        <v>18</v>
      </c>
      <c r="G15" s="30" t="s">
        <v>1089</v>
      </c>
      <c r="H15" s="15" t="s">
        <v>1090</v>
      </c>
      <c r="I15" s="40"/>
      <c r="J15" s="37"/>
      <c r="K15" s="37"/>
      <c r="L15" s="37"/>
    </row>
    <row r="16" spans="1:12" ht="30" customHeight="1" x14ac:dyDescent="0.2">
      <c r="A16" s="18" t="s">
        <v>1085</v>
      </c>
      <c r="B16" s="18" t="s">
        <v>1086</v>
      </c>
      <c r="C16" s="19" t="s">
        <v>1091</v>
      </c>
      <c r="D16" s="20" t="s">
        <v>1092</v>
      </c>
      <c r="E16" s="16">
        <v>2</v>
      </c>
      <c r="F16" s="17" t="s">
        <v>140</v>
      </c>
      <c r="G16" s="20"/>
      <c r="H16" s="20"/>
    </row>
    <row r="17" spans="1:12" ht="30" customHeight="1" x14ac:dyDescent="0.2">
      <c r="A17" s="13" t="s">
        <v>1085</v>
      </c>
      <c r="B17" s="13" t="s">
        <v>1086</v>
      </c>
      <c r="C17" s="14" t="s">
        <v>1093</v>
      </c>
      <c r="D17" s="15" t="s">
        <v>1094</v>
      </c>
      <c r="E17" s="16">
        <v>2</v>
      </c>
      <c r="F17" s="17" t="s">
        <v>18</v>
      </c>
      <c r="G17" s="30" t="s">
        <v>1095</v>
      </c>
      <c r="H17" s="23" t="s">
        <v>1096</v>
      </c>
      <c r="I17" s="40"/>
      <c r="J17" s="37"/>
      <c r="K17" s="37"/>
      <c r="L17" s="37"/>
    </row>
    <row r="18" spans="1:12" ht="30" customHeight="1" x14ac:dyDescent="0.2">
      <c r="A18" s="18" t="s">
        <v>1085</v>
      </c>
      <c r="B18" s="18" t="s">
        <v>1086</v>
      </c>
      <c r="C18" s="19" t="s">
        <v>1097</v>
      </c>
      <c r="D18" s="20" t="s">
        <v>1098</v>
      </c>
      <c r="E18" s="16">
        <v>2</v>
      </c>
      <c r="F18" s="17" t="s">
        <v>140</v>
      </c>
      <c r="G18" s="20"/>
      <c r="H18" s="20"/>
    </row>
    <row r="19" spans="1:12" ht="30" customHeight="1" x14ac:dyDescent="0.2">
      <c r="A19" s="13" t="s">
        <v>1085</v>
      </c>
      <c r="B19" s="13" t="s">
        <v>1086</v>
      </c>
      <c r="C19" s="14" t="s">
        <v>1099</v>
      </c>
      <c r="D19" s="15" t="s">
        <v>1100</v>
      </c>
      <c r="E19" s="16">
        <v>2</v>
      </c>
      <c r="F19" s="17" t="s">
        <v>18</v>
      </c>
      <c r="G19" s="30" t="s">
        <v>1101</v>
      </c>
      <c r="H19" s="15" t="s">
        <v>1102</v>
      </c>
      <c r="I19" s="45"/>
      <c r="J19" s="37"/>
      <c r="K19" s="37"/>
      <c r="L19" s="37"/>
    </row>
    <row r="20" spans="1:12" ht="30" customHeight="1" x14ac:dyDescent="0.2">
      <c r="A20" s="18" t="s">
        <v>1085</v>
      </c>
      <c r="B20" s="18" t="s">
        <v>1086</v>
      </c>
      <c r="C20" s="19" t="s">
        <v>1103</v>
      </c>
      <c r="D20" s="20" t="s">
        <v>1104</v>
      </c>
      <c r="E20" s="16">
        <v>2</v>
      </c>
      <c r="F20" s="17" t="s">
        <v>140</v>
      </c>
      <c r="G20" s="20"/>
      <c r="H20" s="20"/>
    </row>
    <row r="21" spans="1:12" ht="30" customHeight="1" x14ac:dyDescent="0.2">
      <c r="A21" s="13" t="s">
        <v>1085</v>
      </c>
      <c r="B21" s="13" t="s">
        <v>1086</v>
      </c>
      <c r="C21" s="14" t="s">
        <v>1105</v>
      </c>
      <c r="D21" s="15" t="s">
        <v>1106</v>
      </c>
      <c r="E21" s="16">
        <v>2</v>
      </c>
      <c r="F21" s="17" t="s">
        <v>140</v>
      </c>
      <c r="G21" s="15"/>
      <c r="H21" s="15"/>
    </row>
    <row r="22" spans="1:12" ht="18" customHeight="1" x14ac:dyDescent="0.2">
      <c r="A22" s="12" t="s">
        <v>1107</v>
      </c>
      <c r="B22" s="12" t="s">
        <v>1108</v>
      </c>
      <c r="C22" s="12"/>
      <c r="D22" s="12"/>
      <c r="E22" s="12"/>
      <c r="F22" s="12"/>
      <c r="G22" s="28"/>
      <c r="H22" s="12"/>
    </row>
    <row r="23" spans="1:12" ht="30" customHeight="1" x14ac:dyDescent="0.2">
      <c r="A23" s="13" t="s">
        <v>1107</v>
      </c>
      <c r="B23" s="13" t="s">
        <v>1108</v>
      </c>
      <c r="C23" s="14" t="s">
        <v>1109</v>
      </c>
      <c r="D23" s="15" t="s">
        <v>1110</v>
      </c>
      <c r="E23" s="22">
        <v>3</v>
      </c>
      <c r="F23" s="17" t="s">
        <v>140</v>
      </c>
      <c r="G23" s="15"/>
      <c r="H23" s="15"/>
      <c r="I23" s="40"/>
      <c r="J23" s="37"/>
      <c r="K23" s="37"/>
      <c r="L23" s="37"/>
    </row>
    <row r="24" spans="1:12" ht="30" customHeight="1" x14ac:dyDescent="0.2">
      <c r="A24" s="18" t="s">
        <v>1107</v>
      </c>
      <c r="B24" s="18" t="s">
        <v>1108</v>
      </c>
      <c r="C24" s="19" t="s">
        <v>1111</v>
      </c>
      <c r="D24" s="20" t="s">
        <v>1112</v>
      </c>
      <c r="E24" s="22">
        <v>3</v>
      </c>
      <c r="F24" s="17" t="s">
        <v>18</v>
      </c>
      <c r="G24" s="31" t="s">
        <v>1113</v>
      </c>
      <c r="H24" s="20" t="s">
        <v>1114</v>
      </c>
      <c r="I24" s="41"/>
      <c r="J24" s="37"/>
      <c r="K24" s="37"/>
      <c r="L24" s="37"/>
    </row>
    <row r="25" spans="1:12" ht="30" customHeight="1" x14ac:dyDescent="0.2">
      <c r="A25" s="13" t="s">
        <v>1107</v>
      </c>
      <c r="B25" s="13" t="s">
        <v>1108</v>
      </c>
      <c r="C25" s="14" t="s">
        <v>1115</v>
      </c>
      <c r="D25" s="15" t="s">
        <v>1116</v>
      </c>
      <c r="E25" s="22">
        <v>3</v>
      </c>
      <c r="F25" s="17" t="s">
        <v>140</v>
      </c>
      <c r="G25" s="15"/>
      <c r="H25" s="15"/>
      <c r="I25" s="41"/>
      <c r="J25" s="37"/>
      <c r="K25" s="37"/>
      <c r="L25" s="37"/>
    </row>
    <row r="26" spans="1:12" ht="30" customHeight="1" x14ac:dyDescent="0.2">
      <c r="A26" s="18" t="s">
        <v>1107</v>
      </c>
      <c r="B26" s="18" t="s">
        <v>1108</v>
      </c>
      <c r="C26" s="19" t="s">
        <v>1117</v>
      </c>
      <c r="D26" s="20" t="s">
        <v>1118</v>
      </c>
      <c r="E26" s="22">
        <v>3</v>
      </c>
      <c r="F26" s="17" t="s">
        <v>140</v>
      </c>
      <c r="G26" s="20"/>
      <c r="H26" s="20"/>
      <c r="I26" s="41"/>
      <c r="J26" s="37"/>
      <c r="K26" s="37"/>
      <c r="L26" s="37"/>
    </row>
  </sheetData>
  <mergeCells count="6">
    <mergeCell ref="I17:L17"/>
    <mergeCell ref="I23:L26"/>
    <mergeCell ref="I3:L7"/>
    <mergeCell ref="I15:L15"/>
    <mergeCell ref="I19:L19"/>
    <mergeCell ref="I9:L11"/>
  </mergeCells>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3"/>
  <sheetViews>
    <sheetView topLeftCell="D1" zoomScaleNormal="55" workbookViewId="0">
      <pane ySplit="1" topLeftCell="A5" activePane="bottomLeft" state="frozen"/>
      <selection pane="bottomLeft" activeCell="D26" sqref="D2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2" ht="28" customHeight="1" x14ac:dyDescent="0.2">
      <c r="A1" s="11" t="s">
        <v>0</v>
      </c>
      <c r="B1" s="11" t="s">
        <v>1</v>
      </c>
      <c r="C1" s="11" t="s">
        <v>2</v>
      </c>
      <c r="D1" s="11" t="s">
        <v>3</v>
      </c>
      <c r="E1" s="11" t="s">
        <v>4</v>
      </c>
      <c r="F1" s="11" t="s">
        <v>5</v>
      </c>
      <c r="G1" s="11" t="s">
        <v>6</v>
      </c>
      <c r="H1" s="11" t="s">
        <v>7</v>
      </c>
    </row>
    <row r="2" spans="1:12" ht="18" customHeight="1" x14ac:dyDescent="0.2">
      <c r="A2" s="12" t="s">
        <v>1119</v>
      </c>
      <c r="B2" s="12" t="s">
        <v>1120</v>
      </c>
      <c r="C2" s="12"/>
      <c r="D2" s="12"/>
      <c r="E2" s="12"/>
      <c r="F2" s="12"/>
      <c r="G2" s="12"/>
      <c r="H2" s="12"/>
      <c r="I2" s="43"/>
      <c r="J2" s="37"/>
      <c r="K2" s="37"/>
      <c r="L2" s="37"/>
    </row>
    <row r="3" spans="1:12" ht="30" customHeight="1" x14ac:dyDescent="0.2">
      <c r="A3" s="13" t="s">
        <v>1119</v>
      </c>
      <c r="B3" s="13" t="s">
        <v>1120</v>
      </c>
      <c r="C3" s="14" t="s">
        <v>1121</v>
      </c>
      <c r="D3" s="15" t="s">
        <v>1122</v>
      </c>
      <c r="E3" s="16">
        <v>2</v>
      </c>
      <c r="F3" s="17" t="s">
        <v>18</v>
      </c>
      <c r="G3" s="26" t="s">
        <v>1123</v>
      </c>
      <c r="H3" s="15" t="s">
        <v>1124</v>
      </c>
      <c r="I3" s="45"/>
      <c r="J3" s="37"/>
      <c r="K3" s="37"/>
      <c r="L3" s="37"/>
    </row>
    <row r="4" spans="1:12" ht="18" customHeight="1" x14ac:dyDescent="0.2">
      <c r="A4" s="12" t="s">
        <v>1125</v>
      </c>
      <c r="B4" s="12" t="s">
        <v>1126</v>
      </c>
      <c r="C4" s="12"/>
      <c r="D4" s="12"/>
      <c r="E4" s="12"/>
      <c r="F4" s="12"/>
      <c r="G4" s="12"/>
      <c r="H4" s="12"/>
    </row>
    <row r="5" spans="1:12" ht="30" customHeight="1" x14ac:dyDescent="0.2">
      <c r="A5" s="13" t="s">
        <v>1125</v>
      </c>
      <c r="B5" s="13" t="s">
        <v>1126</v>
      </c>
      <c r="C5" s="14" t="s">
        <v>1127</v>
      </c>
      <c r="D5" s="15" t="s">
        <v>1128</v>
      </c>
      <c r="E5" s="16">
        <v>2</v>
      </c>
      <c r="F5" s="17" t="s">
        <v>18</v>
      </c>
      <c r="G5" s="30" t="s">
        <v>1129</v>
      </c>
      <c r="H5" s="15"/>
      <c r="I5" s="45"/>
      <c r="J5" s="37"/>
      <c r="K5" s="37"/>
      <c r="L5" s="37"/>
    </row>
    <row r="6" spans="1:12" ht="30" customHeight="1" x14ac:dyDescent="0.2">
      <c r="A6" s="18" t="s">
        <v>1125</v>
      </c>
      <c r="B6" s="18" t="s">
        <v>1126</v>
      </c>
      <c r="C6" s="19" t="s">
        <v>1130</v>
      </c>
      <c r="D6" s="20" t="s">
        <v>1131</v>
      </c>
      <c r="E6" s="16">
        <v>2</v>
      </c>
      <c r="F6" s="17" t="s">
        <v>18</v>
      </c>
      <c r="G6" s="31" t="s">
        <v>1132</v>
      </c>
      <c r="H6" s="20"/>
      <c r="I6" s="41"/>
      <c r="J6" s="37"/>
      <c r="K6" s="37"/>
      <c r="L6" s="37"/>
    </row>
    <row r="7" spans="1:12" ht="30" customHeight="1" x14ac:dyDescent="0.2">
      <c r="A7" s="13" t="s">
        <v>1125</v>
      </c>
      <c r="B7" s="13" t="s">
        <v>1126</v>
      </c>
      <c r="C7" s="14" t="s">
        <v>1133</v>
      </c>
      <c r="D7" s="15" t="s">
        <v>1134</v>
      </c>
      <c r="E7" s="16">
        <v>2</v>
      </c>
      <c r="F7" s="17" t="s">
        <v>140</v>
      </c>
      <c r="G7" s="15"/>
      <c r="H7" s="15"/>
    </row>
    <row r="8" spans="1:12" ht="30" customHeight="1" x14ac:dyDescent="0.2">
      <c r="A8" s="18" t="s">
        <v>1125</v>
      </c>
      <c r="B8" s="18" t="s">
        <v>1126</v>
      </c>
      <c r="C8" s="19" t="s">
        <v>1135</v>
      </c>
      <c r="D8" s="20" t="s">
        <v>1136</v>
      </c>
      <c r="E8" s="16">
        <v>2</v>
      </c>
      <c r="F8" s="17" t="s">
        <v>140</v>
      </c>
      <c r="G8" s="20"/>
      <c r="H8" s="20"/>
    </row>
    <row r="9" spans="1:12" ht="30" customHeight="1" x14ac:dyDescent="0.2">
      <c r="A9" s="13" t="s">
        <v>1125</v>
      </c>
      <c r="B9" s="13" t="s">
        <v>1126</v>
      </c>
      <c r="C9" s="14" t="s">
        <v>1137</v>
      </c>
      <c r="D9" s="15" t="s">
        <v>1138</v>
      </c>
      <c r="E9" s="16">
        <v>2</v>
      </c>
      <c r="F9" s="17" t="s">
        <v>140</v>
      </c>
      <c r="G9" s="15"/>
      <c r="H9" s="15"/>
    </row>
    <row r="10" spans="1:12" ht="18" customHeight="1" x14ac:dyDescent="0.2">
      <c r="A10" s="12" t="s">
        <v>1139</v>
      </c>
      <c r="B10" s="12" t="s">
        <v>1140</v>
      </c>
      <c r="C10" s="12"/>
      <c r="D10" s="12"/>
      <c r="E10" s="12"/>
      <c r="F10" s="12"/>
      <c r="G10" s="12"/>
      <c r="H10" s="12"/>
    </row>
    <row r="11" spans="1:12" ht="30" customHeight="1" x14ac:dyDescent="0.2">
      <c r="A11" s="13" t="s">
        <v>1139</v>
      </c>
      <c r="B11" s="13" t="s">
        <v>1140</v>
      </c>
      <c r="C11" s="14" t="s">
        <v>1141</v>
      </c>
      <c r="D11" s="15" t="s">
        <v>1142</v>
      </c>
      <c r="E11" s="16">
        <v>2</v>
      </c>
      <c r="F11" s="17" t="s">
        <v>18</v>
      </c>
      <c r="G11" s="31" t="s">
        <v>1143</v>
      </c>
      <c r="H11" s="15"/>
      <c r="I11" s="40"/>
      <c r="J11" s="37"/>
      <c r="K11" s="37"/>
      <c r="L11" s="37"/>
    </row>
    <row r="12" spans="1:12" ht="30" customHeight="1" x14ac:dyDescent="0.2">
      <c r="A12" s="18" t="s">
        <v>1139</v>
      </c>
      <c r="B12" s="18" t="s">
        <v>1140</v>
      </c>
      <c r="C12" s="19" t="s">
        <v>1144</v>
      </c>
      <c r="D12" s="20" t="s">
        <v>1145</v>
      </c>
      <c r="E12" s="16">
        <v>2</v>
      </c>
      <c r="F12" s="17" t="s">
        <v>18</v>
      </c>
      <c r="G12" s="31" t="s">
        <v>1146</v>
      </c>
      <c r="H12" s="20"/>
      <c r="I12" s="41"/>
      <c r="J12" s="37"/>
      <c r="K12" s="37"/>
      <c r="L12" s="37"/>
    </row>
    <row r="13" spans="1:12" ht="30" customHeight="1" x14ac:dyDescent="0.2">
      <c r="A13" s="13" t="s">
        <v>1139</v>
      </c>
      <c r="B13" s="13" t="s">
        <v>1140</v>
      </c>
      <c r="C13" s="14" t="s">
        <v>1147</v>
      </c>
      <c r="D13" s="15" t="s">
        <v>1148</v>
      </c>
      <c r="E13" s="16">
        <v>2</v>
      </c>
      <c r="F13" s="17" t="s">
        <v>18</v>
      </c>
      <c r="G13" s="31" t="s">
        <v>1149</v>
      </c>
      <c r="H13" s="15"/>
      <c r="I13" s="41"/>
      <c r="J13" s="37"/>
      <c r="K13" s="37"/>
      <c r="L13" s="37"/>
    </row>
    <row r="14" spans="1:12" ht="30" customHeight="1" x14ac:dyDescent="0.2">
      <c r="A14" s="18" t="s">
        <v>1139</v>
      </c>
      <c r="B14" s="18" t="s">
        <v>1140</v>
      </c>
      <c r="C14" s="19" t="s">
        <v>1150</v>
      </c>
      <c r="D14" s="20" t="s">
        <v>1151</v>
      </c>
      <c r="E14" s="16">
        <v>2</v>
      </c>
      <c r="F14" s="17" t="s">
        <v>18</v>
      </c>
      <c r="G14" s="31" t="s">
        <v>1152</v>
      </c>
      <c r="H14" s="20"/>
      <c r="I14" s="41"/>
      <c r="J14" s="37"/>
      <c r="K14" s="37"/>
      <c r="L14" s="37"/>
    </row>
    <row r="15" spans="1:12" ht="18" customHeight="1" x14ac:dyDescent="0.2">
      <c r="A15" s="12" t="s">
        <v>1153</v>
      </c>
      <c r="B15" s="12" t="s">
        <v>1154</v>
      </c>
      <c r="C15" s="12"/>
      <c r="D15" s="12"/>
      <c r="E15" s="12"/>
      <c r="F15" s="12"/>
      <c r="G15" s="12"/>
      <c r="H15" s="12"/>
    </row>
    <row r="16" spans="1:12" ht="30" customHeight="1" x14ac:dyDescent="0.2">
      <c r="A16" s="13" t="s">
        <v>1153</v>
      </c>
      <c r="B16" s="13" t="s">
        <v>1154</v>
      </c>
      <c r="C16" s="14" t="s">
        <v>1155</v>
      </c>
      <c r="D16" s="15" t="s">
        <v>1156</v>
      </c>
      <c r="E16" s="16">
        <v>2</v>
      </c>
      <c r="F16" s="17" t="s">
        <v>140</v>
      </c>
      <c r="G16" s="15"/>
      <c r="H16" s="15"/>
    </row>
    <row r="17" spans="1:12" ht="30" customHeight="1" x14ac:dyDescent="0.2">
      <c r="A17" s="18" t="s">
        <v>1153</v>
      </c>
      <c r="B17" s="18" t="s">
        <v>1154</v>
      </c>
      <c r="C17" s="19" t="s">
        <v>1157</v>
      </c>
      <c r="D17" s="20" t="s">
        <v>1158</v>
      </c>
      <c r="E17" s="16">
        <v>2</v>
      </c>
      <c r="F17" s="17" t="s">
        <v>18</v>
      </c>
      <c r="G17" s="32" t="s">
        <v>1159</v>
      </c>
      <c r="H17" s="20" t="s">
        <v>1160</v>
      </c>
      <c r="I17" s="40"/>
      <c r="J17" s="37"/>
      <c r="K17" s="37"/>
      <c r="L17" s="37"/>
    </row>
    <row r="18" spans="1:12" ht="30" customHeight="1" x14ac:dyDescent="0.2">
      <c r="A18" s="13" t="s">
        <v>1153</v>
      </c>
      <c r="B18" s="13" t="s">
        <v>1154</v>
      </c>
      <c r="C18" s="14" t="s">
        <v>1161</v>
      </c>
      <c r="D18" s="15" t="s">
        <v>1162</v>
      </c>
      <c r="E18" s="16">
        <v>2</v>
      </c>
      <c r="F18" s="17" t="s">
        <v>18</v>
      </c>
      <c r="G18" s="31" t="s">
        <v>1163</v>
      </c>
      <c r="H18" s="15"/>
      <c r="I18" s="41"/>
      <c r="J18" s="37"/>
      <c r="K18" s="37"/>
      <c r="L18" s="37"/>
    </row>
    <row r="19" spans="1:12" ht="18" customHeight="1" x14ac:dyDescent="0.2">
      <c r="A19" s="12" t="s">
        <v>1164</v>
      </c>
      <c r="B19" s="12" t="s">
        <v>1165</v>
      </c>
      <c r="C19" s="12"/>
      <c r="D19" s="12"/>
      <c r="E19" s="12"/>
      <c r="F19" s="12"/>
      <c r="G19" s="12"/>
      <c r="H19" s="12"/>
    </row>
    <row r="20" spans="1:12" ht="30" customHeight="1" x14ac:dyDescent="0.2">
      <c r="A20" s="13" t="s">
        <v>1164</v>
      </c>
      <c r="B20" s="13" t="s">
        <v>1165</v>
      </c>
      <c r="C20" s="14" t="s">
        <v>1166</v>
      </c>
      <c r="D20" s="15" t="s">
        <v>1167</v>
      </c>
      <c r="E20" s="16">
        <v>2</v>
      </c>
      <c r="F20" s="17" t="s">
        <v>18</v>
      </c>
      <c r="G20" s="24" t="s">
        <v>1168</v>
      </c>
      <c r="H20" s="15" t="s">
        <v>1169</v>
      </c>
      <c r="I20" s="45"/>
      <c r="J20" s="37"/>
      <c r="K20" s="37"/>
      <c r="L20" s="37"/>
    </row>
    <row r="21" spans="1:12" ht="30" customHeight="1" x14ac:dyDescent="0.2">
      <c r="A21" s="18" t="s">
        <v>1164</v>
      </c>
      <c r="B21" s="18" t="s">
        <v>1165</v>
      </c>
      <c r="C21" s="19" t="s">
        <v>1170</v>
      </c>
      <c r="D21" s="20" t="s">
        <v>1171</v>
      </c>
      <c r="E21" s="16">
        <v>2</v>
      </c>
      <c r="F21" s="17" t="s">
        <v>140</v>
      </c>
      <c r="G21" s="20"/>
      <c r="H21" s="20"/>
    </row>
    <row r="22" spans="1:12" ht="30" customHeight="1" x14ac:dyDescent="0.2">
      <c r="A22" s="13" t="s">
        <v>1164</v>
      </c>
      <c r="B22" s="13" t="s">
        <v>1165</v>
      </c>
      <c r="C22" s="14" t="s">
        <v>1172</v>
      </c>
      <c r="D22" s="15" t="s">
        <v>1173</v>
      </c>
      <c r="E22" s="16">
        <v>2</v>
      </c>
      <c r="F22" s="17" t="s">
        <v>140</v>
      </c>
      <c r="G22" s="15"/>
      <c r="H22" s="15"/>
    </row>
    <row r="23" spans="1:12" ht="30" customHeight="1" x14ac:dyDescent="0.2">
      <c r="A23" s="18" t="s">
        <v>1164</v>
      </c>
      <c r="B23" s="18" t="s">
        <v>1165</v>
      </c>
      <c r="C23" s="19" t="s">
        <v>1174</v>
      </c>
      <c r="D23" s="20" t="s">
        <v>1175</v>
      </c>
      <c r="E23" s="22">
        <v>3</v>
      </c>
      <c r="F23" s="17" t="s">
        <v>140</v>
      </c>
      <c r="G23" s="20"/>
      <c r="H23" s="20"/>
    </row>
  </sheetData>
  <mergeCells count="6">
    <mergeCell ref="I2:L2"/>
    <mergeCell ref="I5:L6"/>
    <mergeCell ref="I3:L3"/>
    <mergeCell ref="I20:L20"/>
    <mergeCell ref="I11:L14"/>
    <mergeCell ref="I17:L18"/>
  </mergeCells>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D19" sqref="D1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1" t="s">
        <v>0</v>
      </c>
      <c r="B1" s="11" t="s">
        <v>1</v>
      </c>
      <c r="C1" s="11" t="s">
        <v>2</v>
      </c>
      <c r="D1" s="11" t="s">
        <v>3</v>
      </c>
      <c r="E1" s="11" t="s">
        <v>4</v>
      </c>
      <c r="F1" s="11" t="s">
        <v>5</v>
      </c>
      <c r="G1" s="11" t="s">
        <v>6</v>
      </c>
      <c r="H1" s="11" t="s">
        <v>7</v>
      </c>
    </row>
    <row r="2" spans="1:8" ht="18" customHeight="1" x14ac:dyDescent="0.2">
      <c r="A2" s="12" t="s">
        <v>1176</v>
      </c>
      <c r="B2" s="12" t="s">
        <v>1177</v>
      </c>
      <c r="C2" s="12"/>
      <c r="D2" s="12"/>
      <c r="E2" s="12"/>
      <c r="F2" s="12"/>
      <c r="G2" s="12"/>
      <c r="H2" s="12"/>
    </row>
    <row r="3" spans="1:8" ht="30" customHeight="1" x14ac:dyDescent="0.2">
      <c r="A3" s="13" t="s">
        <v>1176</v>
      </c>
      <c r="B3" s="13" t="s">
        <v>1177</v>
      </c>
      <c r="C3" s="14" t="s">
        <v>1178</v>
      </c>
      <c r="D3" s="15" t="s">
        <v>1179</v>
      </c>
      <c r="E3" s="16">
        <v>2</v>
      </c>
      <c r="F3" s="17" t="s">
        <v>140</v>
      </c>
      <c r="G3" s="15"/>
      <c r="H3" s="15"/>
    </row>
    <row r="4" spans="1:8" ht="30" customHeight="1" x14ac:dyDescent="0.2">
      <c r="A4" s="18" t="s">
        <v>1176</v>
      </c>
      <c r="B4" s="18" t="s">
        <v>1177</v>
      </c>
      <c r="C4" s="19" t="s">
        <v>1180</v>
      </c>
      <c r="D4" s="20" t="s">
        <v>1181</v>
      </c>
      <c r="E4" s="22">
        <v>3</v>
      </c>
      <c r="F4" s="17" t="s">
        <v>140</v>
      </c>
      <c r="G4" s="20"/>
      <c r="H4" s="20"/>
    </row>
    <row r="5" spans="1:8" ht="18" customHeight="1" x14ac:dyDescent="0.2">
      <c r="A5" s="12" t="s">
        <v>1182</v>
      </c>
      <c r="B5" s="12" t="s">
        <v>1183</v>
      </c>
      <c r="C5" s="12"/>
      <c r="D5" s="12"/>
      <c r="E5" s="12"/>
      <c r="F5" s="12"/>
      <c r="G5" s="12"/>
      <c r="H5" s="12"/>
    </row>
    <row r="6" spans="1:8" ht="30" customHeight="1" x14ac:dyDescent="0.2">
      <c r="A6" s="13" t="s">
        <v>1182</v>
      </c>
      <c r="B6" s="13" t="s">
        <v>1183</v>
      </c>
      <c r="C6" s="14" t="s">
        <v>1184</v>
      </c>
      <c r="D6" s="15" t="s">
        <v>1185</v>
      </c>
      <c r="E6" s="16">
        <v>2</v>
      </c>
      <c r="F6" s="17" t="s">
        <v>140</v>
      </c>
      <c r="G6" s="15"/>
      <c r="H6" s="15"/>
    </row>
    <row r="7" spans="1:8" ht="30" customHeight="1" x14ac:dyDescent="0.2">
      <c r="A7" s="18" t="s">
        <v>1182</v>
      </c>
      <c r="B7" s="18" t="s">
        <v>1183</v>
      </c>
      <c r="C7" s="19" t="s">
        <v>1186</v>
      </c>
      <c r="D7" s="20" t="s">
        <v>1187</v>
      </c>
      <c r="E7" s="16">
        <v>2</v>
      </c>
      <c r="F7" s="17" t="s">
        <v>140</v>
      </c>
      <c r="G7" s="20"/>
      <c r="H7" s="20"/>
    </row>
    <row r="8" spans="1:8" ht="30" customHeight="1" x14ac:dyDescent="0.2">
      <c r="A8" s="13" t="s">
        <v>1182</v>
      </c>
      <c r="B8" s="13" t="s">
        <v>1183</v>
      </c>
      <c r="C8" s="14" t="s">
        <v>1188</v>
      </c>
      <c r="D8" s="15" t="s">
        <v>1189</v>
      </c>
      <c r="E8" s="16">
        <v>2</v>
      </c>
      <c r="F8" s="17" t="s">
        <v>140</v>
      </c>
      <c r="G8" s="15"/>
      <c r="H8" s="15"/>
    </row>
    <row r="9" spans="1:8" ht="30" customHeight="1" x14ac:dyDescent="0.2">
      <c r="A9" s="18" t="s">
        <v>1182</v>
      </c>
      <c r="B9" s="18" t="s">
        <v>1183</v>
      </c>
      <c r="C9" s="19" t="s">
        <v>1190</v>
      </c>
      <c r="D9" s="20" t="s">
        <v>1191</v>
      </c>
      <c r="E9" s="16">
        <v>2</v>
      </c>
      <c r="F9" s="17" t="s">
        <v>140</v>
      </c>
      <c r="G9" s="20"/>
      <c r="H9" s="20"/>
    </row>
    <row r="10" spans="1:8" ht="30" customHeight="1" x14ac:dyDescent="0.2">
      <c r="A10" s="13" t="s">
        <v>1182</v>
      </c>
      <c r="B10" s="13" t="s">
        <v>1183</v>
      </c>
      <c r="C10" s="14" t="s">
        <v>1192</v>
      </c>
      <c r="D10" s="15" t="s">
        <v>1193</v>
      </c>
      <c r="E10" s="22">
        <v>3</v>
      </c>
      <c r="F10" s="17" t="s">
        <v>140</v>
      </c>
      <c r="G10" s="15"/>
      <c r="H10" s="15"/>
    </row>
    <row r="11" spans="1:8" ht="30" customHeight="1" x14ac:dyDescent="0.2">
      <c r="A11" s="18" t="s">
        <v>1182</v>
      </c>
      <c r="B11" s="18" t="s">
        <v>1183</v>
      </c>
      <c r="C11" s="19" t="s">
        <v>1194</v>
      </c>
      <c r="D11" s="20" t="s">
        <v>1195</v>
      </c>
      <c r="E11" s="22">
        <v>3</v>
      </c>
      <c r="F11" s="17" t="s">
        <v>140</v>
      </c>
      <c r="G11" s="20"/>
      <c r="H11" s="20"/>
    </row>
    <row r="12" spans="1:8" ht="30" customHeight="1" x14ac:dyDescent="0.2">
      <c r="A12" s="13" t="s">
        <v>1182</v>
      </c>
      <c r="B12" s="13" t="s">
        <v>1183</v>
      </c>
      <c r="C12" s="14" t="s">
        <v>1196</v>
      </c>
      <c r="D12" s="15" t="s">
        <v>1197</v>
      </c>
      <c r="E12" s="22">
        <v>3</v>
      </c>
      <c r="F12" s="17" t="s">
        <v>140</v>
      </c>
      <c r="G12" s="15"/>
      <c r="H12" s="15"/>
    </row>
    <row r="13" spans="1:8" ht="30" customHeight="1" x14ac:dyDescent="0.2">
      <c r="A13" s="18" t="s">
        <v>1182</v>
      </c>
      <c r="B13" s="18" t="s">
        <v>1183</v>
      </c>
      <c r="C13" s="19" t="s">
        <v>1198</v>
      </c>
      <c r="D13" s="20" t="s">
        <v>1199</v>
      </c>
      <c r="E13" s="22">
        <v>3</v>
      </c>
      <c r="F13" s="17" t="s">
        <v>140</v>
      </c>
      <c r="G13" s="20"/>
      <c r="H13" s="20"/>
    </row>
    <row r="14" spans="1:8" ht="18" customHeight="1" x14ac:dyDescent="0.2">
      <c r="A14" s="12" t="s">
        <v>1200</v>
      </c>
      <c r="B14" s="12" t="s">
        <v>1201</v>
      </c>
      <c r="C14" s="12"/>
      <c r="D14" s="12"/>
      <c r="E14" s="12"/>
      <c r="F14" s="12"/>
      <c r="G14" s="12"/>
      <c r="H14" s="12"/>
    </row>
    <row r="15" spans="1:8" ht="30" customHeight="1" x14ac:dyDescent="0.2">
      <c r="A15" s="13" t="s">
        <v>1200</v>
      </c>
      <c r="B15" s="13" t="s">
        <v>1201</v>
      </c>
      <c r="C15" s="14" t="s">
        <v>1202</v>
      </c>
      <c r="D15" s="15" t="s">
        <v>1203</v>
      </c>
      <c r="E15" s="16">
        <v>2</v>
      </c>
      <c r="F15" s="17" t="s">
        <v>140</v>
      </c>
      <c r="G15" s="15"/>
      <c r="H15" s="15"/>
    </row>
    <row r="16" spans="1:8" ht="30" customHeight="1" x14ac:dyDescent="0.2">
      <c r="A16" s="18" t="s">
        <v>1200</v>
      </c>
      <c r="B16" s="18" t="s">
        <v>1201</v>
      </c>
      <c r="C16" s="19" t="s">
        <v>1204</v>
      </c>
      <c r="D16" s="20" t="s">
        <v>1205</v>
      </c>
      <c r="E16" s="16">
        <v>2</v>
      </c>
      <c r="F16" s="17" t="s">
        <v>140</v>
      </c>
      <c r="G16" s="20"/>
      <c r="H16" s="20"/>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Filipa Esgalhado De Oliveira Gouveia Cardoso</cp:lastModifiedBy>
  <cp:revision>3</cp:revision>
  <dcterms:created xsi:type="dcterms:W3CDTF">2026-03-04T10:14:28Z</dcterms:created>
  <dcterms:modified xsi:type="dcterms:W3CDTF">2026-06-16T20:38:50Z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