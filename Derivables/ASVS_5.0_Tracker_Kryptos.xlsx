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diananeves/faculdade/Mestrado/DESOFS/Projeto/desofs2026_thu_ffs_2/Derivables/"/>
    </mc:Choice>
  </mc:AlternateContent>
  <xr:revisionPtr revIDLastSave="0" documentId="8_{3E8478AF-B211-1B45-95B7-21FEC51E6736}" xr6:coauthVersionLast="47" xr6:coauthVersionMax="47" xr10:uidLastSave="{00000000-0000-0000-0000-000000000000}"/>
  <bookViews>
    <workbookView xWindow="-6200" yWindow="-21600" windowWidth="38400" windowHeight="21600" tabRatio="500" firstSheet="5" activeTab="13"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definedNames>
    <definedName name="_xlnm._FilterDatabase" localSheetId="10" hidden="1">'V10 - OAuth and OIDC'!$F$1:$F$44</definedName>
    <definedName name="_xlnm._FilterDatabase" localSheetId="11" hidden="1">'V11 - Cryptography'!$F$1:$F$32</definedName>
    <definedName name="_xlnm._FilterDatabase" localSheetId="12" hidden="1">'V12 - Secure Communication'!$F$1:$F$16</definedName>
    <definedName name="_xlnm._FilterDatabase" localSheetId="13" hidden="1">'V13 - Configuration'!$F$1:$F$26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J21" i="1"/>
  <c r="G21" i="1"/>
  <c r="L20" i="1"/>
  <c r="M20" i="1" s="1"/>
  <c r="J20" i="1"/>
  <c r="K20" i="1" s="1"/>
  <c r="G20" i="1"/>
  <c r="H20" i="1" s="1"/>
  <c r="D20" i="1"/>
  <c r="E20" i="1" s="1"/>
  <c r="L19" i="1"/>
  <c r="M19" i="1" s="1"/>
  <c r="J19" i="1"/>
  <c r="K19" i="1" s="1"/>
  <c r="G19" i="1"/>
  <c r="H19" i="1" s="1"/>
  <c r="D19" i="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M6" i="1" s="1"/>
  <c r="J6" i="1"/>
  <c r="K6" i="1" s="1"/>
  <c r="G6" i="1"/>
  <c r="H6" i="1" s="1"/>
  <c r="D6" i="1"/>
  <c r="E6" i="1" s="1"/>
  <c r="E19" i="1" l="1"/>
  <c r="E23" i="1" s="1"/>
  <c r="D23" i="1"/>
  <c r="M21" i="1"/>
  <c r="M23" i="1" s="1"/>
  <c r="L23" i="1"/>
  <c r="K21" i="1"/>
  <c r="K23" i="1" s="1"/>
  <c r="J23" i="1"/>
  <c r="H21" i="1"/>
  <c r="H23" i="1" s="1"/>
  <c r="G23" i="1"/>
</calcChain>
</file>

<file path=xl/sharedStrings.xml><?xml version="1.0" encoding="utf-8"?>
<sst xmlns="http://schemas.openxmlformats.org/spreadsheetml/2006/main" count="2253" uniqueCount="1087">
  <si>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</si>
  <si>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</si>
  <si>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</si>
  <si>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</si>
  <si>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</si>
  <si>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</si>
  <si>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</si>
  <si>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</si>
  <si>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</si>
  <si>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</si>
  <si>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</si>
  <si>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</si>
  <si>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</si>
  <si>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</si>
  <si>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</si>
  <si>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</si>
  <si>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</si>
  <si>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</si>
  <si>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</si>
  <si>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</si>
  <si>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</si>
  <si>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</si>
  <si>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</si>
  <si>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</si>
  <si>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</si>
  <si>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</si>
  <si>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</si>
  <si>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</si>
  <si>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</si>
  <si>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</si>
  <si>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</si>
  <si>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</si>
  <si>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</si>
  <si>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</si>
  <si>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</si>
  <si>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</si>
  <si>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</si>
  <si>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</si>
  <si>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</si>
  <si>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</si>
  <si>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</si>
  <si>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</si>
  <si>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</si>
  <si>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</si>
  <si>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</si>
  <si>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</si>
  <si>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</si>
  <si>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</si>
  <si>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</si>
  <si>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</si>
  <si>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</si>
  <si>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</si>
  <si>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</si>
  <si>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</si>
  <si>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</si>
  <si>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</si>
  <si>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</si>
  <si>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</si>
  <si>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</si>
  <si>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</si>
  <si>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</si>
  <si>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</si>
  <si>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</si>
  <si>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</si>
  <si>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</si>
  <si>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</si>
  <si>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</si>
  <si>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</si>
  <si>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</si>
  <si>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</si>
  <si>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</si>
  <si>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</si>
  <si>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</si>
  <si>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</si>
  <si>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</si>
  <si>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</si>
  <si>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</si>
  <si>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</si>
  <si>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</si>
  <si>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</si>
  <si>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</si>
  <si>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</si>
  <si>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</si>
  <si>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</si>
  <si>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</si>
  <si>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</si>
  <si>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</si>
  <si>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</si>
  <si>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</si>
  <si>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</si>
  <si>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</si>
  <si>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</si>
  <si>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</si>
  <si>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</si>
  <si>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</si>
  <si>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</si>
  <si>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</si>
  <si>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</si>
  <si>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</si>
  <si>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</si>
  <si>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</si>
  <si>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</si>
  <si>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</si>
  <si>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</si>
  <si>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</si>
  <si>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</si>
  <si>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</si>
  <si>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</si>
  <si>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</si>
  <si>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</si>
  <si>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</si>
  <si>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</si>
  <si>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</si>
  <si>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</si>
  <si>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</si>
  <si>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</si>
  <si>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</si>
  <si>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</si>
  <si>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</si>
  <si>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</si>
  <si>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</si>
  <si>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</si>
  <si>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</si>
  <si>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</si>
  <si>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</si>
  <si>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</si>
  <si>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</si>
  <si>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</si>
  <si>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</si>
  <si>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</si>
  <si>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</si>
  <si>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</si>
  <si>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</si>
  <si>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</si>
  <si>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</si>
  <si>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</si>
  <si>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</si>
  <si>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</si>
  <si>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</si>
  <si>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</si>
  <si>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</si>
  <si>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</si>
  <si>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</si>
  <si>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</si>
  <si>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</si>
  <si>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</si>
  <si>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</si>
  <si>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</si>
  <si>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</si>
  <si>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</si>
  <si>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</si>
  <si>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</si>
  <si>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</si>
  <si>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</si>
  <si>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</si>
  <si>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</si>
  <si>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</si>
  <si>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</si>
  <si>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</si>
  <si>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</si>
  <si>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</si>
  <si>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</si>
  <si>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</si>
  <si>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</si>
  <si>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</si>
  <si>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</si>
  <si>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</si>
  <si>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</si>
  <si>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</si>
  <si>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</si>
  <si>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</si>
  <si>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</si>
  <si>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</si>
  <si>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</si>
  <si>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</si>
  <si>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</si>
  <si>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</si>
  <si>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</si>
  <si>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</si>
  <si>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</si>
  <si>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</si>
  <si>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</si>
  <si>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</si>
  <si>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</si>
  <si>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</si>
  <si>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</si>
  <si>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</si>
  <si>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</si>
  <si>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</si>
  <si>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</si>
  <si>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</si>
  <si>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</si>
  <si>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</si>
  <si>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</si>
  <si>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</si>
  <si>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</si>
  <si>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</si>
  <si>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</si>
  <si>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</si>
  <si>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</si>
  <si>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</si>
  <si>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</si>
  <si>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</si>
  <si>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</si>
  <si>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</si>
  <si>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</si>
  <si>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</si>
  <si>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</si>
  <si>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</si>
  <si>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</si>
  <si>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</si>
  <si>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</si>
  <si>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</si>
  <si>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</si>
  <si>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</si>
  <si>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</si>
  <si>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</si>
  <si>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</si>
  <si>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</si>
  <si>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</si>
  <si>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</si>
  <si>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</si>
  <si>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</si>
  <si>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</si>
  <si>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</si>
  <si>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</si>
  <si>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</si>
  <si>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</si>
  <si>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</si>
  <si>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</si>
  <si>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</si>
  <si>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</si>
  <si>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</si>
  <si>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</si>
  <si>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</si>
  <si>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</si>
  <si>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</si>
  <si>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</si>
  <si>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</si>
  <si>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</si>
  <si>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</si>
  <si>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</si>
  <si>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</si>
  <si>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</si>
  <si>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</si>
  <si>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</si>
  <si>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</si>
  <si>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</si>
  <si>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</si>
  <si>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</si>
  <si>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</si>
  <si>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</si>
  <si>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</si>
  <si>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</si>
  <si>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</si>
  <si>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</si>
  <si>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</si>
  <si>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</si>
  <si>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</si>
  <si>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</si>
  <si>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</si>
  <si>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</si>
  <si>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</si>
  <si>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</si>
  <si>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</si>
  <si>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</si>
  <si>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</si>
  <si>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</si>
  <si>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</si>
  <si>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</si>
  <si>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</si>
  <si>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</si>
  <si>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</si>
  <si>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</si>
  <si>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</si>
  <si>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</si>
  <si>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</si>
  <si>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</si>
  <si>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</si>
  <si>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</si>
  <si>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</si>
  <si>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</si>
  <si>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</si>
  <si>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</si>
  <si>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</si>
  <si>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</si>
  <si>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</si>
  <si>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</si>
  <si>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</si>
  <si>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</si>
  <si>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</si>
  <si>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</si>
  <si>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</si>
  <si>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</si>
  <si>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</si>
  <si>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</si>
  <si>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</si>
  <si>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</si>
  <si>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</si>
  <si>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</si>
  <si>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</si>
  <si>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</si>
  <si>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</si>
  <si>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</si>
  <si>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</si>
  <si>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</si>
  <si>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</si>
  <si>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</si>
  <si>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</si>
  <si>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</si>
  <si>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</si>
  <si>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</si>
  <si>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</si>
  <si>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</si>
  <si>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</si>
  <si>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</si>
  <si>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</si>
  <si>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</si>
  <si>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</si>
  <si>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</si>
  <si>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</si>
  <si>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</si>
  <si>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</si>
  <si>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</si>
  <si>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</si>
  <si>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</si>
  <si>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</si>
  <si>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</si>
  <si>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</si>
  <si>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</si>
  <si>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</si>
  <si>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</si>
  <si>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</si>
  <si>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</si>
  <si>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</si>
  <si>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</si>
  <si>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</si>
  <si>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</si>
  <si>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</si>
  <si>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</si>
  <si>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</si>
  <si>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</si>
  <si>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</si>
  <si>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</si>
  <si>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</si>
  <si>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</si>
  <si>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</si>
  <si>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</si>
  <si>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</si>
  <si>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</si>
  <si>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</si>
  <si>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</si>
  <si>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</si>
  <si>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</si>
  <si>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</si>
  <si>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</si>
  <si>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</si>
  <si>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</si>
  <si>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</si>
  <si>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</si>
  <si>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</si>
  <si>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</si>
  <si>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</si>
  <si>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</si>
  <si>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</si>
  <si>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</si>
  <si>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</si>
  <si>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</si>
  <si>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</si>
  <si>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</si>
  <si>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</si>
  <si>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</si>
  <si>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</si>
  <si>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</si>
  <si>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</si>
  <si>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</si>
  <si>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</si>
  <si>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</si>
  <si>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</si>
  <si>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</si>
  <si>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</si>
  <si>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</si>
  <si>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</si>
  <si>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</si>
  <si>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</si>
  <si>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</si>
  <si>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</si>
  <si>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</si>
  <si>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</si>
  <si>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</si>
  <si>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</si>
  <si>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</si>
  <si>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</si>
  <si>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</si>
  <si>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</si>
  <si>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</si>
  <si>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</si>
  <si>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</si>
  <si>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</si>
  <si>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</si>
  <si>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</si>
  <si>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</si>
  <si>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</si>
  <si>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</si>
  <si>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</si>
  <si>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</si>
  <si>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</si>
  <si>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</si>
  <si>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</si>
  <si>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</si>
  <si>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</si>
  <si>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</si>
  <si>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</si>
  <si>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</si>
  <si>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</si>
  <si>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</si>
  <si>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</si>
  <si>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</si>
  <si>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</si>
  <si>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</si>
  <si>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</si>
  <si>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</si>
  <si>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</si>
  <si>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</si>
  <si>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</si>
  <si>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</si>
  <si>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</si>
  <si>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</si>
  <si>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</si>
  <si>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</si>
  <si>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</si>
  <si>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</si>
  <si>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</si>
  <si>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</si>
  <si>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</si>
  <si>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</si>
  <si>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</si>
  <si>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</si>
  <si>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</si>
  <si>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</si>
  <si>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</si>
  <si>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</si>
  <si>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</si>
  <si>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</si>
  <si>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</si>
  <si>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</si>
  <si>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</si>
  <si>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</si>
  <si>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</si>
  <si>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</si>
  <si>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</si>
  <si>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</si>
  <si>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</si>
  <si>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</si>
  <si>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</si>
  <si>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</si>
  <si>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</si>
  <si>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</si>
  <si>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</si>
  <si>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</si>
  <si>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</si>
  <si>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</si>
  <si>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</si>
  <si>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</si>
  <si>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</si>
  <si>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</si>
  <si>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</si>
  <si>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</si>
  <si>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</si>
  <si>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</si>
  <si>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</si>
  <si>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</si>
  <si>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</si>
  <si>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</si>
  <si>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</si>
  <si>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</si>
  <si>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</si>
  <si>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</si>
  <si>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</si>
  <si>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</si>
  <si>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</si>
  <si>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</si>
  <si>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</si>
  <si>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</si>
  <si>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</si>
  <si>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</si>
  <si>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</si>
  <si>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</si>
  <si>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</si>
  <si>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</si>
  <si>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</si>
  <si>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</si>
  <si>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</si>
  <si>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</si>
  <si>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</si>
  <si>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</si>
  <si>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</si>
  <si>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</si>
  <si>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</si>
  <si>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</si>
  <si>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</si>
  <si>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</si>
  <si>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</si>
  <si>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</si>
  <si>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</si>
  <si>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</si>
  <si>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</si>
  <si>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</si>
  <si>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</si>
  <si>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</si>
  <si>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</si>
  <si>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</si>
  <si>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</si>
  <si>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</si>
  <si>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Not Applicable</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</si>
  <si>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</si>
  <si>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</si>
  <si>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</si>
  <si>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</si>
  <si>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</si>
  <si>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</si>
  <si>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</si>
  <si>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</si>
  <si>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</si>
  <si>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</si>
  <si>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</si>
  <si>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</si>
  <si>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</si>
  <si>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</si>
  <si>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</si>
  <si>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</si>
  <si>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</si>
  <si>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</si>
  <si>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</si>
  <si>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</si>
  <si>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</si>
  <si>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</si>
  <si>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</si>
  <si>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</si>
  <si>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</si>
  <si>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</si>
  <si>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</si>
  <si>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</si>
  <si>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</si>
  <si>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</si>
  <si>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</si>
  <si>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</si>
  <si>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</si>
  <si>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</si>
  <si>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</si>
  <si>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</si>
  <si>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</si>
  <si>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</si>
  <si>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</si>
  <si>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</si>
  <si>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</si>
  <si>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</si>
  <si>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</si>
  <si>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</si>
  <si>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</si>
  <si>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</si>
  <si>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</si>
  <si>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</si>
  <si>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</si>
  <si>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</si>
  <si>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</si>
  <si>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</si>
  <si>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</si>
  <si>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</si>
  <si>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</si>
  <si>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</si>
  <si>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</si>
  <si>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</si>
  <si>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</si>
  <si>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</si>
  <si>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</si>
  <si>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</si>
  <si>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</si>
  <si>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</si>
  <si>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</si>
  <si>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</si>
  <si>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</si>
  <si>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</si>
  <si>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</si>
  <si>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</si>
  <si>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</si>
  <si>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</si>
  <si>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</si>
  <si>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</si>
  <si>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</si>
  <si>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</si>
  <si>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</si>
  <si>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</si>
  <si>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</si>
  <si>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</si>
  <si>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</si>
  <si>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</si>
  <si>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</si>
  <si>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</si>
  <si>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</si>
  <si>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</si>
  <si>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</si>
  <si>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</si>
  <si>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</si>
  <si>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</si>
  <si>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</si>
  <si>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</si>
  <si>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</si>
  <si>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</si>
  <si>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</si>
  <si>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</si>
  <si>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</si>
  <si>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</si>
  <si>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</si>
  <si>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</si>
  <si>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</si>
  <si>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</si>
  <si>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</si>
  <si>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</si>
  <si>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</si>
  <si>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</si>
  <si>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</si>
  <si>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</si>
  <si>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</si>
  <si>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</si>
  <si>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</si>
  <si>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</si>
  <si>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</si>
  <si>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</si>
  <si>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</si>
  <si>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</si>
  <si>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</si>
  <si>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</si>
  <si>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</si>
  <si>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</si>
  <si>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</si>
  <si>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</si>
  <si>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</si>
  <si>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</si>
  <si>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</si>
  <si>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</si>
  <si>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</si>
  <si>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</si>
  <si>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</si>
  <si>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</si>
  <si>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</si>
  <si>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</si>
  <si>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</si>
  <si>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</si>
  <si>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</si>
  <si>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</si>
  <si>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</si>
  <si>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</si>
  <si>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</si>
  <si>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</si>
  <si>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</si>
  <si>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</si>
  <si>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</si>
  <si>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</si>
  <si>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</si>
  <si>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</si>
  <si>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</si>
  <si>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</si>
  <si>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</si>
  <si>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</si>
  <si>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</si>
  <si>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</si>
  <si>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</si>
  <si>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</si>
  <si>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</si>
  <si>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</si>
  <si>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</si>
  <si>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</si>
  <si>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</si>
  <si>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</si>
  <si>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</si>
  <si>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</si>
  <si>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</si>
  <si>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</si>
  <si>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</si>
  <si>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</si>
  <si>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</si>
  <si>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</si>
  <si>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</si>
  <si>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</si>
  <si>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</si>
  <si>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</si>
  <si>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</si>
  <si>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</si>
  <si>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</si>
  <si>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</si>
  <si>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</si>
  <si>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</si>
  <si>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</si>
  <si>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</si>
  <si>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</si>
  <si>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</si>
  <si>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</si>
  <si>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</si>
  <si>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</si>
  <si>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</si>
  <si>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</si>
  <si>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</si>
  <si>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</si>
  <si>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</si>
  <si>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</si>
  <si>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</si>
  <si>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</si>
  <si>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</si>
  <si>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</si>
  <si>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</si>
  <si>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</si>
  <si>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</si>
  <si>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</si>
  <si>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</si>
  <si>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</si>
  <si>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</si>
  <si>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</si>
  <si>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</si>
  <si>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</si>
  <si>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</si>
  <si>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</si>
  <si>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</si>
  <si>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</si>
  <si>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</si>
  <si>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</si>
  <si>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</si>
  <si>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</si>
  <si>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</si>
  <si>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</si>
  <si>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</si>
  <si>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</si>
  <si>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</si>
  <si>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</si>
  <si>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</si>
  <si>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</si>
  <si>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</si>
  <si>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</si>
  <si>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</si>
  <si>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</si>
  <si>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</si>
  <si>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In Progress</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</si>
  <si>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</si>
  <si>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</si>
  <si>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</si>
  <si>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</si>
  <si>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</si>
  <si>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</si>
  <si>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</si>
  <si>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</si>
  <si>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</si>
  <si>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</si>
  <si>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</si>
  <si>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</si>
  <si>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</si>
  <si>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</si>
  <si>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</si>
  <si>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</si>
  <si>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</si>
  <si>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</si>
  <si>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</si>
  <si>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</si>
  <si>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</si>
  <si>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</si>
  <si>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</si>
  <si>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</si>
  <si>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</si>
  <si>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</si>
  <si>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</si>
  <si>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</si>
  <si>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</si>
  <si>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</si>
  <si>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</si>
  <si>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</si>
  <si>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</si>
  <si>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</si>
  <si>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</si>
  <si>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</si>
  <si>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</si>
  <si>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</si>
  <si>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</si>
  <si>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</si>
  <si>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</si>
  <si>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</si>
  <si>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</si>
  <si>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</si>
  <si>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</si>
  <si>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</si>
  <si>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</si>
  <si>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</si>
  <si>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</si>
  <si>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</si>
  <si>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</si>
  <si>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</si>
  <si>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</si>
  <si>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</si>
  <si>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</si>
  <si>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</si>
  <si>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</si>
  <si>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</si>
  <si>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</si>
  <si>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</si>
  <si>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</si>
  <si>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</si>
  <si>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</si>
  <si>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</si>
  <si>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</si>
  <si>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</si>
  <si>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</si>
  <si>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</si>
  <si>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</si>
  <si>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</si>
  <si>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</si>
  <si>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</si>
  <si>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</si>
  <si>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</si>
  <si>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</si>
  <si>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</si>
  <si>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</si>
  <si>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</si>
  <si>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</si>
  <si>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</si>
  <si>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</si>
  <si>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</si>
  <si>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</si>
  <si>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</si>
  <si>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</si>
  <si>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</si>
  <si>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</si>
  <si>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</si>
  <si>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</si>
  <si>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</si>
  <si>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</si>
  <si>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</si>
  <si>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</si>
  <si>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</si>
  <si>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</si>
  <si>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</si>
  <si>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</si>
  <si>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</si>
  <si>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</si>
  <si>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</si>
  <si>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</si>
  <si>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</si>
  <si>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</si>
  <si>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</si>
  <si>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</si>
  <si>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</si>
  <si>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</si>
  <si>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</si>
  <si>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</si>
  <si>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</si>
  <si>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</si>
  <si>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</si>
  <si>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</si>
  <si>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</si>
  <si>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</si>
  <si>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</si>
  <si>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</si>
  <si>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</si>
  <si>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</si>
  <si>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</si>
  <si>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</si>
  <si>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</si>
  <si>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</si>
  <si>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</si>
  <si>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</si>
  <si>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</si>
  <si>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</si>
  <si>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</si>
  <si>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</si>
  <si>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</si>
  <si>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</si>
  <si>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</si>
  <si>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</si>
  <si>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</si>
  <si>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</si>
  <si>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</si>
  <si>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</si>
  <si>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</si>
  <si>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</si>
  <si>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</si>
  <si>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</si>
  <si>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</si>
  <si>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</si>
  <si>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</si>
  <si>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</si>
  <si>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</si>
  <si>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</si>
  <si>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</si>
  <si>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</si>
  <si>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</si>
  <si>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</si>
  <si>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</si>
  <si>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x</t>
  </si>
  <si>
    <t>Kryptos handles sensitive credential import/export via files, documenting allowed file types, sizes, and safe handling ensures protection against malicious uploads that could compromise the system or its users.</t>
  </si>
  <si>
    <t>Applicable to Kryptos due to the processing of API request data and imported files.</t>
  </si>
  <si>
    <t>Applicable since Kryptos processes file imports/exports on the server, restricting file sizes prevents attackers from uploading oversized files that could exhaust resources and cause performance degradation or denial of service.</t>
  </si>
  <si>
    <t>Ensures Kryptos only processes valid and expected file formats, preventing attackers from disguising malicious content as legitimate files to bypass security controls.</t>
  </si>
  <si>
    <t>Highly applicable to Kryptos due to the processing of passwords, credentials, tokens, temporary files, and audit data. Sensitive data should be identified and classified into protection levels according to its confidentiality, integrity, and privacy requirements.</t>
  </si>
  <si>
    <t>Is relevant to guarantee Kryptos is protected from zip bombs or highly nested archives that could exhaust server resources during import operations, preventing denial of service.</t>
  </si>
  <si>
    <t>Highly applicable to Kryptos. Each sensitive data protection level should have documented protection requirements, including encryption, integrity, retention, logging restrictions, access control, and secure storage in the database and temporary file handling.</t>
  </si>
  <si>
    <t>Should be considered to prevent any single user from exhausting storage resources, maintaining system availability and stability.</t>
  </si>
  <si>
    <t>Highly applicable to Kryptos, since credentials and other sensitive authentication-related data must never be included in the URL or query string. A suitable approach is to ensure that such data is sent only in HTTP bodies or secure header fields.</t>
  </si>
  <si>
    <t>This prevents Kryptos from being exposed to path traversal or unauthorized file access attacks that could occur if malicious symlinks inside uploaded archives are processed.</t>
  </si>
  <si>
    <t>Applicable to Kryptos due to ensure the backend automatically escapes all outgoing data</t>
  </si>
  <si>
    <t>Highly applicable to Kryptos, since the system handles highly sensitive information such as credentials and authentication-related data. Sensitive data should never be transmitted to untrusted third parties or external services outside the application's control, in order to avoid unauthorized collection, exposure, or misuse.</t>
  </si>
  <si>
    <t>Highly applicable to Kryptos due to the need to protect credentials, authentication-related data, temporary files, and audit records according to their sensitivity. This should be addressed by documenting, for each protection level, the expected controls for encryption, integrity verification, retention, logging restrictions, access control over logged sensitive data, and other privacy-related safeguards.</t>
  </si>
  <si>
    <t>Prevents Kryptos from executing malicious code embedded in uploaded or generated files, ensuring they are treated only as data when accessed via HTTP.</t>
  </si>
  <si>
    <t>Using trusted or strictly validated filenames in Kryptos prevents attackers from manipulating file paths to access unauthorized resources or trigger path traversal, LFI/RFI, or SSRF attacks.</t>
  </si>
  <si>
    <t>Highly applicable to Kryptos, especially due to the handling of temporary files generated during import and export operations, as well as other potentially outdated sensitive records. This requirement should be addressed through defined data retention and deletion policies, including automatic removal schedules where appropriate and secure wipe procedures for temporary sensitive data.</t>
  </si>
  <si>
    <t>Ignoring user-supplied paths during file processing in Kryptos prevents zip slip attacks that could overwrite or access unintended files on the server.</t>
  </si>
  <si>
    <t>Validating or ignoring user-provided filenames and setting a safe filename in the Content-Disposition header ensures Kryptos avoids injection or path manipulation issues while safely handling file downloads.</t>
  </si>
  <si>
    <t>Sanitizing or properly encoding filenames in Kryptos prevents header or content injection attacks and ensures files are delivered safely to users.</t>
  </si>
  <si>
    <t>Highly applicable to Kryptos, especially in import/export workflows. File metadata should be minimized or removed whenever it may expose sensitive information, unless its retention is explicitly required and consented to.</t>
  </si>
  <si>
    <t>Scanning files from untrusted sources ensures Kryptos does not store or distribute known malware during credential import/export operations.</t>
  </si>
  <si>
    <t>Applicable to Kryptos due to the dynamic generation of export URLs that include parameters like the userID</t>
  </si>
  <si>
    <t>Applicable to Kryptos, especially for sensitive API responses. Anti-caching HTTP headers should be considered for endpoints that return credentials, authentication data, or exported sensitive content.</t>
  </si>
  <si>
    <t>Using dynamically generated session tokens instead of static secrets, reducing the risk of token reuse and unauthorized access.</t>
  </si>
  <si>
    <t>Applicable to Kryptos due to the API's continuous generation of dynamic JSON responses; need to enforce safe JSON serialization and avoid manual string concatenation.</t>
  </si>
  <si>
    <t>Applicable to Kryptos due to the expected use of third-party libraries for backend development, database access, authentication support, file handling, and security-related features. This requirement may be addressed by documenting risk-based remediation time frames for vulnerable components and by defining update priorities according to severity and potential impact on the application.</t>
  </si>
  <si>
    <t>Highly applicable to Kryptos, especially in the context of dependency management and future SCA activities in the pipeline. This may be addressed by maintaining an inventory of third-party components, such as an SBOM, and by ensuring that dependencies are obtained only from trusted, predefined, and actively maintained repositories.</t>
  </si>
  <si>
    <t>Applicable to Kryptos due to potentially resource-demanding operations such as credential import/export, temporary file generation, secure wipe procedures, and audit-related processing. This requirement may be addressed by documenting such operations and by considering controls such as request limits, controlled concurrency, asynchronous processing, or queue-based handling to reduce availability risks.</t>
  </si>
  <si>
    <t>Applicable to Kryptos due to its expected reliance on external libraries for security-sensitive or system-level functionality. This may be addressed by identifying third-party components with elevated risk, such as libraries related to authentication, cryptography, file handling, or operating system interaction, and documenting their risk relevance for future review and monitoring.</t>
  </si>
  <si>
    <t>Highly applicable to Kryptos because the application includes sensitive and potentially dangerous functionality, particularly in operating system interaction, temporary file handling, import/export workflows, and secure wipe procedures. This requirement may be addressed by explicitly documenting these high-risk areas and the safeguards expected around their use.</t>
  </si>
  <si>
    <t>Kryptos session tokens should be unpredictable and resistant to guessing or brute-force attacks by using CSPRNG-generated values with sufficient entropy.</t>
  </si>
  <si>
    <t>Applicable to Kryptos due to database interactions; need to strictly enforce parameterized queries or secure ORMs to prevent SQL injection.</t>
  </si>
  <si>
    <t>Applicable to Kryptos due to the use of JWT claims for authorization decisions.</t>
  </si>
  <si>
    <t>Applicable to Kryptos due to the presence of short-lived activation and password-reset codes.</t>
  </si>
  <si>
    <t>Generating a new session token upon authentication in Kryptos and invalidating the previous one reduces the risk of session fixation and unauthorized session reuse.</t>
  </si>
  <si>
    <t>Applicable to Kryptos due to OS-level temporary file handling; need to ensure any system calls avoid direct concatenation to prevent command injection.</t>
  </si>
  <si>
    <t>Applicable to Kryptos due to regex-based input validation; need to ensure special characters are safely escaped to prevent regex injection.</t>
  </si>
  <si>
    <t>An inactivity timeout in Kryptos enforces re-authentication after periods of idle use, limiting exposure if a session is left unattended.</t>
  </si>
  <si>
    <t>Applicable to Kryptos due to the use of refresh tokens that must resist replay.</t>
  </si>
  <si>
    <t>Applicable to Kryptos due to the long-lived nature of refresh tokens requiring an absolute expiration.</t>
  </si>
  <si>
    <t>Session lifetime  ensures users must periodically re-authenticate, reducing the risk of long-lived sessions being exploited.</t>
  </si>
  <si>
    <t xml:space="preserve">Applicable to Kryptos due to the need to revoke active tokens through administrative actions.
</t>
  </si>
  <si>
    <t>Proper session termination in Kryptos ensures that once a session ends, its token can no longer be used, preventing unauthorized reuse or hijacking of expired sessions.</t>
  </si>
  <si>
    <t>Applicable to Kryptos due to the encryption of credentials at rest, which requires a documented key-management policy.</t>
  </si>
  <si>
    <t>Applicable to Kryptos due to the multiple cryptographic primitives used across authentication, storage, and signing.</t>
  </si>
  <si>
    <t>Applicable to Kryptos due to the full lifecycle that encryption keys must follow.</t>
  </si>
  <si>
    <t>Applicable to Kryptos due to the presence of several critical secrets that require rotation scheduling.</t>
  </si>
  <si>
    <t>Applicable to Kryptos due to its reliance on cryptographic operations that must use vetted libraries.</t>
  </si>
  <si>
    <t>Applicable to Kryptos due to the need to upgrade algorithms without rewriting the system.</t>
  </si>
  <si>
    <t>Applicable to Kryptos due to the strong-confidentiality requirements of stored credentials.</t>
  </si>
  <si>
    <t>Applicable to Kryptos due to the risk of timing attacks on hash and token comparisons.</t>
  </si>
  <si>
    <t>Applicable to Kryptos due to backend logic execution; need to strictly avoid dynamic code execution like eval() or sanitize input if unavoidable</t>
  </si>
  <si>
    <t>Applicable to Kryptos due to its expected reliance on third-party components for backend, persistence, authentication, and file-handling functionality. This requirement may be addressed by ensuring that dependencies are reviewed against defined remediation timelines and that components with known unresolved vulnerabilities are not kept beyond the accepted update window.</t>
  </si>
  <si>
    <t>Applicable to Kryptos due to cryptographic failures potentially exposing internals through error responses.</t>
  </si>
  <si>
    <t>Applicable to Kryptos due to the encryption of sensitive data that must not rely on weak modes or padding.</t>
  </si>
  <si>
    <t>Terminating all active sessions when an account is disabled or deleted prevents former users from retaining access to sensitive information.</t>
  </si>
  <si>
    <t>Applicable to Kryptos due to the encryption of credentials and export files.</t>
  </si>
  <si>
    <t>Applicable to Kryptos due to the need for encrypted data to be protected against unauthorized modification.</t>
  </si>
  <si>
    <t>Allowing administrators  to terminate user sessions enables rapid response to security incidents and prevents ongoing unauthorized access.</t>
  </si>
  <si>
    <t>Applicable to Kryptos due to untrusted input handling; need to sanitize data length and characters before reaching potentially dangerous contexts.</t>
  </si>
  <si>
    <t>Highly applicable to Kryptos, especially because the production environment should expose only the functionality strictly necessary for secure operation. This may be addressed by excluding development-only features, test code, sample content, debugging endpoints, and any unnecessary operating system functionality from the production deployment.</t>
  </si>
  <si>
    <t>Applicable to Kryptos due to the reuse risk of nonces in symmetric encryption.</t>
  </si>
  <si>
    <t>Partially applicable to Kryptos because AES-GCM already provides authentication, and Encrypt-then-MAC would only apply if a non-AEAD cipher were introduced.</t>
  </si>
  <si>
    <t>Applicable to Kryptos due to potential outbound network requests; need to validate URLs against an allowlist to prevent SSRF.</t>
  </si>
  <si>
    <t>Highly applicable to Kryptos, since the API handles sensitive objects containing credentials and authentication-related information. This requirement may be addressed by returning only the minimum set of fields required for each operation and by ensuring that sensitive fields, such as passwords or other confidential credential values, are never exposed in plaintext in API responses.</t>
  </si>
  <si>
    <t>Applicable to Kryptos due to dynamic file or message generation; need to prevent template injection by strictly sanitizing untrusted input in templates.</t>
  </si>
  <si>
    <t>Applicable to Kryptos due to the use of hash functions for integrity, signatures, and token generation.</t>
  </si>
  <si>
    <t>Applicable to Kryptos due to user passwords requiring strong adaptive hashing.</t>
  </si>
  <si>
    <t>Applicable to Kryptos due to the integrity of sensitive data relying on collision-resistant hashes.</t>
  </si>
  <si>
    <t>Applicable to Kryptos due to the derivation of cryptographic keys from user passwords.</t>
  </si>
  <si>
    <t>Applicable to Kryptos due to the need for unpredictable random values in tokens, salts, and IVs.</t>
  </si>
  <si>
    <t>Applicable to Kryptos due to every cryptographic key being generated from randomness.</t>
  </si>
  <si>
    <t>Highly applicable to Kryptos, particularly in operations involving the creation and update of users, vaults, credentials, and trusted devices. This requirement may be addressed by explicitly restricting which fields are accepted in each controller action or endpoint, so that unintended or security-sensitive attributes cannot be inserted or modified through mass assignment.</t>
  </si>
  <si>
    <t>Applicable to Kryptos due to the use of asymmetric keys for JWT signing.</t>
  </si>
  <si>
    <t>Partially applicable to Kryptos because decrypted credentials exist only during a single request and must be zeroed from memory afterwards.</t>
  </si>
  <si>
    <t>Applicable to Kryptos as a general secure coding requirement, especially in authentication, authorization, input validation, and data-processing logic. This requirement may be addressed by enforcing type safety, validating expected data types explicitly, and using strict equality and comparison operations to reduce the risk of type confusion or type juggling vulnerabilities.</t>
  </si>
  <si>
    <t>Requiring full re-authentication  before changing sensitive account details prevents attackers with a hijacked session from altering authentication or recovery information.</t>
  </si>
  <si>
    <t>Applicable to Kryptos due to all API traffic requiring encrypted transport.</t>
  </si>
  <si>
    <t>Applicable to Kryptos due to weak cipher suites posing a downgrade risk.</t>
  </si>
  <si>
    <t>Ensures correctenforcing of session expiration and re-authentication across IdP and RP interactions, preventing users from remaining authenticated beyond intended security limits.</t>
  </si>
  <si>
    <t>Applicable to Kryptos due to the need to prevent protocol downgrade attacks through HSTS.</t>
  </si>
  <si>
    <t>Applicable to Kryptos due to its public-facing API being accessed over untrusted networks.</t>
  </si>
  <si>
    <t>Applicable to Kryptos due to public clients needing to verify server identity through trusted certificates.</t>
  </si>
  <si>
    <t>Applicable to Kryptos due to sensitive data flowing between the API and the database.</t>
  </si>
  <si>
    <t>Applicable to Kryptos due to the database client needing to verify server identity before sending queries.</t>
  </si>
  <si>
    <t>Applicable to Kryptos due to internal service-to-service communication that must also be encrypted.</t>
  </si>
  <si>
    <t>Applicable to Kryptos due to the possible use of internal CAs for backend services.</t>
  </si>
  <si>
    <t>Applicable to Kryptos due to the highly sensitive traffic between the API and the key store.</t>
  </si>
  <si>
    <t>Applicable to Kryptos due to the need to document all external communication paths.</t>
  </si>
  <si>
    <t>Applicable to Kryptos due to its dependencies on external components such as the database and the key vault.</t>
  </si>
  <si>
    <t>Highly applicable to Kryptos, especially in operations involving file handling, temporary file deletion, and access-controlled resources such as vaults and credentials. This requirement may be addressed by ensuring that security-relevant checks and the corresponding actions are performed as closely and atomically as possible, in order to reduce TOCTOU-related risks.</t>
  </si>
  <si>
    <t>Still unsure what programming language we are going to use</t>
  </si>
  <si>
    <t>Applicable to Kryptos due to the sensitive data flows already documented in the threat model.</t>
  </si>
  <si>
    <t>Applicable to Kryptos due to backend communications requiring authenticated service accounts.</t>
  </si>
  <si>
    <t>Applicable to Kryptos due to backend string formatting, we must strictly avoid user-controllable format strings.</t>
  </si>
  <si>
    <t>Highly applicable to Kryptos. Logging should be documented across the application layers, including logged events, formats, storage location, access control, intended use, and retention period.</t>
  </si>
  <si>
    <t>Applicable to Kryptos due to backend components needing least-privilege credentials.</t>
  </si>
  <si>
    <t>Applicable to Kryptos due to regex-based input validation; need to ensure patterns are safe from ReDoS</t>
  </si>
  <si>
    <t>Applicable to Kryptos due to the risk posed by shipping default or example credentials.</t>
  </si>
  <si>
    <t>Applicable to Kryptos due to the need to restrict outbound connections to known trusted hosts.</t>
  </si>
  <si>
    <t>Applicable to Kryptos due to the server requiring an allowlist of permitted outbound destinations.</t>
  </si>
  <si>
    <t>Applicable to Kryptos due to internal traffic that must not be trusted implicitly.</t>
  </si>
  <si>
    <t>Applicable to Kryptos due to the presence of multiple high-value secrets that cannot live in source code.</t>
  </si>
  <si>
    <t>Highly applicable to Kryptos. Log entries should include enough metadata to support investigation, namely when, who, what, and where the event occurred.</t>
  </si>
  <si>
    <t>Highly applicable to Kryptos. Logging timestamps should be consistent across components and should use UTC or an explicit time zone offset to support reliable audit and investigation.</t>
  </si>
  <si>
    <t>Applicable to Kryptos due to the sensitivity of the vault secrets accessed by the API.</t>
  </si>
  <si>
    <t>Applicable to Kryptos due to cryptographic operations benefiting from running in an isolated trust boundary.</t>
  </si>
  <si>
    <t>Applicable to Kryptos due to the need for secret rotation over the lifetime of the system.</t>
  </si>
  <si>
    <t>Applicable to Kryptos due to the risk of leaking source-control metadata in production deployments.</t>
  </si>
  <si>
    <t>Applicable to Kryptos due to debug output exposing implementation details in production.</t>
  </si>
  <si>
    <t>Applicable to Kryptos due to the risk of the web server exposing directory listings.</t>
  </si>
  <si>
    <t>Applicable to Kryptos due to the HTTP TRACE method potentially leaking request data.</t>
  </si>
  <si>
    <t>Applicable to Kryptos due to internal documentation and monitoring endpoints that must not be publicly exposed.</t>
  </si>
  <si>
    <t>Applicable to Kryptos due to error responses possibly leaking internal system data.</t>
  </si>
  <si>
    <t>Highly applicable to Kryptos. Both successful and unsuccessful authentication attempts should be logged together with relevant metadata for audit and investigation.</t>
  </si>
  <si>
    <t>Applicable to Kryptos due to server-identifying headers enabling fingerprinting.</t>
  </si>
  <si>
    <t>Highly applicable to Kryptos. Failed authorization attempts and relevant access decisions over sensitive resources should be logged without exposing sensitive data in the logs.</t>
  </si>
  <si>
    <t>Highly applicable to Kryptos. Security events and attempts to bypass security controls should be defined and included in the application logging strategy.</t>
  </si>
  <si>
    <t>Highly applicable to Kryptos. Unexpected errors and security control failures should be logged to support monitoring, investigation, and incident response.</t>
  </si>
  <si>
    <t>Applicable to Kryptos due to data processing; need to ensure the backend implementation provides native protection against buffer overflows.</t>
  </si>
  <si>
    <t>Applicable to Kryptos due to numeric data handling; need to implement range and sign validation to prevent integer overflow vulnerabilities.</t>
  </si>
  <si>
    <t>Applicable to Kryptos due to JSON deserialization; need to enforce strict type checking and use safe deserialization libraries for untrusted data.</t>
  </si>
  <si>
    <t>Highly applicable to Kryptos. Audit logs should be protected against unauthorized access and tampering through appropriate access control and integrity protections.</t>
  </si>
  <si>
    <t>Highly applicable to Kryptos. Security-relevant logs should ideally be transmitted or preserved in a logically separate system or storage location to reduce the risk of compromise.</t>
  </si>
  <si>
    <t>Applicable to Kryptos due to the use of multiple data parsers; need to ensure consistent parsing behavior across all components to avoid interoperability flaws.</t>
  </si>
  <si>
    <t>Highly applicable to Kryptos. Error responses should remain generic and must not expose internal details such as stack traces, queries, tokens, or other sensitive implementation information.</t>
  </si>
  <si>
    <t>Applicable to Kryptos due to diverse data inputs (emails, vault names); need to document strict validation rules for every data field.</t>
  </si>
  <si>
    <t>Applicable to Kryptos due to related data entities (User-Vault-Credential); need to document how logical consistency is validated between these objects.</t>
  </si>
  <si>
    <t>Applicable to Kryptos due to resource management; need to document global and per-user limits for vaults and credential entries.</t>
  </si>
  <si>
    <t>Applicable to Kryptos due to API endpoint exposure; need to enforce positive validation (allowlists/regex) for all incoming request data.</t>
  </si>
  <si>
    <t>Applicable to Kryptos due to critical flows (e.g., vault transfer or deletion); need to verify that business logic steps are executed in the correct order.</t>
  </si>
  <si>
    <t>Applicable to Kryptos due to potential resource abuse; need to implement code-level checks for storage quotas and entry limits.</t>
  </si>
  <si>
    <t>Applicable to Kryptos due to database integrity requirements; need to ensure complex operations (e.g., importing a vault) use atomic transactions to prevent partial data states.</t>
  </si>
  <si>
    <t>Applicable to Kryptos due to its multi-layered backend architecture; need to verify that input validation is enforced at both the API entry point and the business logic layer.</t>
  </si>
  <si>
    <t>Applicable to Kryptos due to the processing of untrusted user data; need to ensure all inputs are sanitized or encoded before storage in the database to prevent injection.</t>
  </si>
  <si>
    <t>Compliant</t>
  </si>
  <si>
    <t>Applicable to Kryptos due to API endpoint exposure; need to implement rate limiting and request throttling to prevent automated resource abuse and DoS.</t>
  </si>
  <si>
    <t>Applicable to Kryptos due to sensitive business logic flows; need to enforce timing-based controls to prevent excessively rapid transaction submissions.</t>
  </si>
  <si>
    <t>Applicable to Kryptos due to the use of self-contained JWTs whose signature must be verified before any claim is trusted.</t>
  </si>
  <si>
    <t>Applicable to Kryptos due to the need to restrict the set of accepted signing algorithms and to explicitly forbid the none algorithm.</t>
  </si>
  <si>
    <t>Applicable to Kryptos due to the signing key material needing to come from a trusted pre-configured source rather than from headers controlled by the client.</t>
  </si>
  <si>
    <t>Applicable to Kryptos due to the JWT carrying nbf and exp claims whose validity window must be enforced on every request.</t>
  </si>
  <si>
    <t>Applicable to Kryptos due to the need to distinguish access tokens from refresh tokens so that each is accepted only for its intended purpose.</t>
  </si>
  <si>
    <t>Applicable to Kryptos due to the need to accept only tokens whose aud claim targets the Kryptos API.</t>
  </si>
  <si>
    <t>Applicable to Kryptos due to JSON API responses; need to ensure 'Content-Type' headers with the correct charset (UTF-8) are always included.</t>
  </si>
  <si>
    <t>Applicable to Kryptos due to sensitive vault and credential data; need to enforce strict JWT-based authentication and authorization for every API endpoint.</t>
  </si>
  <si>
    <t>Applicable to Kryptos due to entity update operations; need to use Data Transfer Objects (DTOs) to prevent users from updating fields they shouldn't.</t>
  </si>
  <si>
    <t>Applicable to Kryptos due to multi-tenant vault management; need to implement ownership checks to ensure users only access their own credentials.</t>
  </si>
  <si>
    <t>Applicable to Kryptos due to strict JSON requirements; need to configure the API to reject any requests with unsupported Content-Types.</t>
  </si>
  <si>
    <t>Applicable to Kryptos due to error response handling; need to implement global exception handlers to strip stack traces and internal DB details from API responses.</t>
  </si>
  <si>
    <t>Applicable to Kryptos due to RESTful architecture; need to explicitly disable unused HTTP methods.</t>
  </si>
  <si>
    <t>Applicable to Kryptos due to HTTP header management; need to ensure that user input cannot manipulate or override security-relevant response headers.</t>
  </si>
  <si>
    <t>Applicable to Kryptos due to potential deployment behind proxies/load balancers; need to ensure user-supplied headers cannot override system-set headers.</t>
  </si>
  <si>
    <t>Define and apply protections like rate limiting and anti-automation to stop brute force and credential stuffing attacks without enabling denial of service through account lockout.</t>
  </si>
  <si>
    <t>Defines restricted, context-specific terms in Kryptos so users cannot choose predictable passwords related to the organization, reducing the risk of guessing attacks.</t>
  </si>
  <si>
    <t>Documents all authentication methods in Kryptos with consistent security controls and strength, preventing weaker pathways from undermining overall authentication security.</t>
  </si>
  <si>
    <t>Requires sufficiently long passwords in Kryptos to increase resistance against brute-force and guessing attacks.</t>
  </si>
  <si>
    <t>Allows Kryptos users to update their passwords, enabling recovery from potential compromise and maintaining account security.</t>
  </si>
  <si>
    <t>Requires Kryptos users to provide their current password when setting a new one, preventing unauthorized changes from compromised sessions.</t>
  </si>
  <si>
    <t>Allows Kryptos users to create passwords with any character composition, avoiding restrictive rules that can weaken overall password security and usability.</t>
  </si>
  <si>
    <t>Masks password input in Kryptos to prevent shoulder surfing or accidental exposure while allowing optional visibility features for usability.</t>
  </si>
  <si>
    <t>Allows Kryptos users to use paste, browser helpers, and password managers, supporting stronger and more secure password practices.</t>
  </si>
  <si>
    <t>Ensures Kryptos compares passwords exactly as entered, preventing unintended alterations that could weaken authentication or cause inconsistencies.</t>
  </si>
  <si>
    <t>Allows Kryptos users to create very long passwords, supporting the use of strong passphrases and password manager–generated credentials.</t>
  </si>
  <si>
    <t>Keeps passwords valid until compromised or voluntarily changed, avoiding forced rotations that can lead to weaker password choices.</t>
  </si>
  <si>
    <t>Applies Kryptos’s list of context-specific terms during password creation to block predictable and easily guessable passwords.</t>
  </si>
  <si>
    <t>Implements documented protections like rate limiting and anti-automation to actively defend against credential stuffing and brute-force attacks.</t>
  </si>
  <si>
    <t>Removes or disables default accounts in Kryptos to eliminate common entry points that attackers frequently target.</t>
  </si>
  <si>
    <t>Requires Kryptos to use strong multi-factor authentication to reduce the risk of account compromise and phishing-based attacks.</t>
  </si>
  <si>
    <t>Prevents  having hidden or weaker authentication paths by ensuring all methods are documented and enforce consistent security controls.</t>
  </si>
  <si>
    <t>Notifies  users of suspicious login activity so they can detect and respond quickly to potential unauthorized access.</t>
  </si>
  <si>
    <t>Alerts users when authentication details are changed, helping them detect and respond to unauthorized account modifications.</t>
  </si>
  <si>
    <t>Prevents Kryptos from revealing whether a username exists by ensuring authentication, registration, and recovery responses are uniform, reducing the risk of user enumeration attacks.</t>
  </si>
  <si>
    <t>Eliminates weak recovery mechanisms, preventing attackers from exploiting easily guessable password hints or security questions.</t>
  </si>
  <si>
    <t>Requires Kryptos to implement a secure password reset process that preserves MFA protections, preventing attackers from bypassing additional authentication factors.</t>
  </si>
  <si>
    <t>Provides users with timely renewal notifications for expiring authentication methods, preventing loss of access and maintaining continuous account security.</t>
  </si>
  <si>
    <t>Allows  administrators to assist with password resets without ever knowing or setting the user’s actual password, preserving account confidentiality.</t>
  </si>
  <si>
    <t>Prevents Kryptos from accepting reused authentication codes, reducing replay attacks and protecting account access.</t>
  </si>
  <si>
    <t>Requires Kryptos to store lower-entropy lookup secrets securely with salted password hashing, reducing the risk of secret disclosure if backend data is compromised.</t>
  </si>
  <si>
    <t>Defines short lifetimes for authentication codes in Kryptos to limit their validity window and reduce the risk of interception or reuse.</t>
  </si>
  <si>
    <t>Allows revoking compromised authentication factors, preventing unauthorized access if a device or credential is lost or stolen.</t>
  </si>
  <si>
    <t>Uses a trusted server-side time source in Kryptos for TOTP validation, preventing manipulation of authentication by altering client-side time.</t>
  </si>
  <si>
    <t>Applicable to Kryptos since it uses role-based access and handles sensitive credential data, requiring clearly defined authorization rules for functions and data access based on permissions and resource attributes.</t>
  </si>
  <si>
    <t>Applicable to Kryptos as it manages sensitive credential data where certain fields may require restricted read/write access depending on user roles and resource attributes.</t>
  </si>
  <si>
    <t>Applicable, since Kryptos exposes multiple sensitive operations via its API that must be restricted based on explicit user permissions.</t>
  </si>
  <si>
    <t>Applicable to Kryptos handles user-specific vaults and credentials that must be protected with strict object-level access controls to prevent IDOR and BOLA.</t>
  </si>
  <si>
    <t>Applicable to Kryptos since it stores sensitive credential-related attributes that may need to be hidden or restricted per role to prevent unauthorized access or modification of specific fields.</t>
  </si>
  <si>
    <t>Partially applicable, since Kryptos includes trusted device management and auditing features that could support contextual controls, but adaptive authentication based on factors like location or time is not explicitly described.</t>
  </si>
  <si>
    <t>Applicable, as Kryptos relies on role-based access and sensitive credential data, requiring immediate enforcement of permission changes to prevent unauthorized actions.</t>
  </si>
  <si>
    <t>Applicable, since Kryptos exposes a REST API where access to credentials and vaults must always be enforced based on the requesting user’s permissions rather than intermediary services.</t>
  </si>
  <si>
    <t>Applicable, as Kryptos is a backend REST API where all session validation must be handled server-side to securely enforce authentication and access control.</t>
  </si>
  <si>
    <t>Applicable, since Kryptos manages authenticated sessions for access to sensitive credential data, requiring clearly defined and justified session timeout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</si>
</sst>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
      <sz val="11"/>
      <color rgb="FF000000"/>
      <name val="Calibri"/>
      <family val="2"/>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47">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0" fillId="0" borderId="0" xfId="0" applyAlignment="1">
      <alignment horizontal="center" wrapText="1"/>
    </xf>
    <xf numFmtId="0" fontId="0" fillId="0" borderId="0" xfId="0" applyAlignment="1">
      <alignment wrapText="1"/>
    </xf>
    <xf numFmtId="0" fontId="0" fillId="4" borderId="1" xfId="0" applyFill="1" applyBorder="1" applyAlignment="1">
      <alignment horizontal="left" vertical="center" wrapText="1"/>
    </xf>
    <xf numFmtId="0" fontId="0" fillId="3" borderId="1" xfId="0" applyFill="1" applyBorder="1" applyAlignment="1">
      <alignment horizontal="center" vertical="top" wrapText="1"/>
    </xf>
    <xf numFmtId="0" fontId="0" fillId="0" borderId="0" xfId="0" applyAlignment="1">
      <alignment horizontal="left" vertical="top" wrapText="1"/>
    </xf>
    <xf numFmtId="0" fontId="9" fillId="5"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center" vertical="top" wrapText="1"/>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wrapText="1"/>
    </xf>
    <xf numFmtId="0" fontId="0" fillId="0" borderId="0" xfId="0" applyAlignment="1">
      <alignment horizontal="center" wrapText="1"/>
    </xf>
    <xf numFmtId="0" fontId="0" fillId="0" borderId="2" xfId="0" applyBorder="1" applyAlignment="1">
      <alignment horizontal="center"/>
    </xf>
    <xf numFmtId="0" fontId="0" fillId="0" borderId="0" xfId="0" applyAlignment="1">
      <alignment horizontal="center"/>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xf numFmtId="0" fontId="0" fillId="0" borderId="2"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top" wrapText="1"/>
    </xf>
    <xf numFmtId="0" fontId="0" fillId="0" borderId="0" xfId="0" applyAlignment="1">
      <alignment horizontal="center" vertical="top" wrapText="1"/>
    </xf>
    <xf numFmtId="0" fontId="0" fillId="0" borderId="0" xfId="0" applyAlignment="1">
      <alignment vertical="top" wrapText="1"/>
    </xf>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D95D-E240-90CB-AE30875FD4F4}"/>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D95D-E240-90CB-AE30875FD4F4}"/>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0.125</c:v>
                </c:pt>
                <c:pt idx="13">
                  <c:v>0</c:v>
                </c:pt>
                <c:pt idx="14">
                  <c:v>0</c:v>
                </c:pt>
                <c:pt idx="15">
                  <c:v>0</c:v>
                </c:pt>
              </c:numCache>
            </c:numRef>
          </c:val>
          <c:extLst>
            <c:ext xmlns:c16="http://schemas.microsoft.com/office/drawing/2014/chart" uri="{C3380CC4-5D6E-409C-BE32-E72D297353CC}">
              <c16:uniqueId val="{00000002-D95D-E240-90CB-AE30875FD4F4}"/>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4.7619047619047616E-2</c:v>
                </c:pt>
                <c:pt idx="13">
                  <c:v>0</c:v>
                </c:pt>
                <c:pt idx="14">
                  <c:v>0</c:v>
                </c:pt>
                <c:pt idx="15">
                  <c:v>0</c:v>
                </c:pt>
                <c:pt idx="16">
                  <c:v>0</c:v>
                </c:pt>
              </c:numCache>
            </c:numRef>
          </c:val>
          <c:extLst>
            <c:ext xmlns:c16="http://schemas.microsoft.com/office/drawing/2014/chart" uri="{C3380CC4-5D6E-409C-BE32-E72D297353CC}">
              <c16:uniqueId val="{00000003-D95D-E240-90CB-AE30875FD4F4}"/>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13</xdr:col>
      <xdr:colOff>270</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0B96025-8530-9643-AE0B-99F9C76279E6}">
  <we:reference id="wa200009404" version="1.0.0.8" store="pt-PT" storeType="OMEX"/>
  <we:alternateReferences>
    <we:reference id="WA200009404" version="1.0.0.8"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opLeftCell="A4" zoomScale="113" zoomScaleNormal="75" workbookViewId="0">
      <selection activeCell="A54" sqref="A54"/>
    </sheetView>
  </sheetViews>
  <sheetFormatPr baseColWidth="10" defaultColWidth="8.5" defaultRowHeight="15" x14ac:dyDescent="0.2"/>
  <cols>
    <col min="1" max="1" width="34" customWidth="1"/>
    <col min="2" max="13" width="11" customWidth="1"/>
  </cols>
  <sheetData>
    <row r="1" spans="1:16" ht="36" customHeight="1" x14ac:dyDescent="0.2">
      <c r="A1" s="38" t="s">
        <v>0</v>
      </c>
      <c r="B1" s="38"/>
      <c r="C1" s="38"/>
      <c r="D1" s="38"/>
      <c r="E1" s="38"/>
      <c r="F1" s="38"/>
      <c r="G1" s="38"/>
      <c r="H1" s="38"/>
      <c r="I1" s="38"/>
      <c r="J1" s="38"/>
      <c r="K1" s="38"/>
      <c r="L1" s="38"/>
      <c r="M1" s="38"/>
      <c r="N1" s="38"/>
      <c r="O1" s="38"/>
      <c r="P1" s="38"/>
    </row>
    <row r="2" spans="1:16" ht="20" customHeight="1" x14ac:dyDescent="0.2">
      <c r="A2" s="39"/>
      <c r="B2" s="39"/>
      <c r="C2" s="39"/>
      <c r="D2" s="39"/>
      <c r="E2" s="39"/>
      <c r="F2" s="39"/>
      <c r="G2" s="39"/>
      <c r="H2" s="39"/>
      <c r="I2" s="39"/>
      <c r="J2" s="39"/>
      <c r="K2" s="39"/>
      <c r="L2" s="39"/>
      <c r="M2" s="39"/>
      <c r="N2" s="39"/>
      <c r="O2" s="39"/>
      <c r="P2" s="39"/>
    </row>
    <row r="3" spans="1:16" ht="18" customHeight="1" x14ac:dyDescent="0.2">
      <c r="A3" s="40"/>
      <c r="B3" s="40"/>
      <c r="C3" s="1"/>
      <c r="E3" s="1"/>
      <c r="G3" s="1"/>
      <c r="I3" s="1"/>
      <c r="K3" s="1"/>
      <c r="M3" s="1"/>
      <c r="O3" s="1"/>
    </row>
    <row r="5" spans="1:16" ht="32" customHeight="1" x14ac:dyDescent="0.2">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2">
      <c r="A6" s="3" t="s">
        <v>14</v>
      </c>
      <c r="B6" s="4">
        <v>30</v>
      </c>
      <c r="C6" s="4">
        <v>8</v>
      </c>
      <c r="D6" s="4">
        <f>COUNTIFS('V1 - Encoding and Sanitization'!$F$2:$F$36,"Compliant",'V1 - Encoding and Sanitization'!$E$2:$E$36,1)</f>
        <v>0</v>
      </c>
      <c r="E6" s="5">
        <f t="shared" ref="E6:E20" si="0">IF(C6=0,"",D6/C6)</f>
        <v>0</v>
      </c>
      <c r="F6" s="4">
        <v>19</v>
      </c>
      <c r="G6" s="4">
        <f>COUNTIFS('V1 - Encoding and Sanitization'!$F$2:$F$36,"Compliant",'V1 - Encoding and Sanitization'!$E$2:$E$36,2)</f>
        <v>0</v>
      </c>
      <c r="H6" s="5">
        <f t="shared" ref="H6:H22" si="1">IF(F6=0,"",G6/F6)</f>
        <v>0</v>
      </c>
      <c r="I6" s="4">
        <v>3</v>
      </c>
      <c r="J6" s="4">
        <f>COUNTIFS('V1 - Encoding and Sanitization'!$F$2:$F$36,"Compliant",'V1 - Encoding and Sanitization'!$E$2:$E$36,3)</f>
        <v>0</v>
      </c>
      <c r="K6" s="5">
        <f t="shared" ref="K6:K13" si="2">IF(I6=0,"",J6/I6)</f>
        <v>0</v>
      </c>
      <c r="L6" s="4">
        <f>COUNTIF('V1 - Encoding and Sanitization'!$F$2:$F$36,"Compliant")</f>
        <v>0</v>
      </c>
      <c r="M6" s="5">
        <f t="shared" ref="M6:M22" si="3">IF(B6=0,"",L6/B6)</f>
        <v>0</v>
      </c>
    </row>
    <row r="7" spans="1:16" ht="18" customHeight="1" x14ac:dyDescent="0.2">
      <c r="A7" s="6" t="s">
        <v>15</v>
      </c>
      <c r="B7" s="7">
        <v>13</v>
      </c>
      <c r="C7" s="7">
        <v>4</v>
      </c>
      <c r="D7" s="7">
        <f>COUNTIFS('V2 - Validation and Business Lo'!$F$2:$F$18,"Compliant",'V2 - Validation and Business Lo'!$E$2:$E$18,1)</f>
        <v>0</v>
      </c>
      <c r="E7" s="8">
        <f t="shared" si="0"/>
        <v>0</v>
      </c>
      <c r="F7" s="7">
        <v>7</v>
      </c>
      <c r="G7" s="7">
        <f>COUNTIFS('V2 - Validation and Business Lo'!$F$2:$F$18,"Compliant",'V2 - Validation and Business Lo'!$E$2:$E$18,2)</f>
        <v>0</v>
      </c>
      <c r="H7" s="8">
        <f t="shared" si="1"/>
        <v>0</v>
      </c>
      <c r="I7" s="7">
        <v>2</v>
      </c>
      <c r="J7" s="7">
        <f>COUNTIFS('V2 - Validation and Business Lo'!$F$2:$F$18,"Compliant",'V2 - Validation and Business Lo'!$E$2:$E$18,3)</f>
        <v>0</v>
      </c>
      <c r="K7" s="8">
        <f t="shared" si="2"/>
        <v>0</v>
      </c>
      <c r="L7" s="7">
        <f>COUNTIF('V2 - Validation and Business Lo'!$F$2:$F$18,"Compliant")</f>
        <v>0</v>
      </c>
      <c r="M7" s="8">
        <f t="shared" si="3"/>
        <v>0</v>
      </c>
    </row>
    <row r="8" spans="1:16" ht="18" customHeight="1" x14ac:dyDescent="0.2">
      <c r="A8" s="3" t="s">
        <v>16</v>
      </c>
      <c r="B8" s="4">
        <v>31</v>
      </c>
      <c r="C8" s="4">
        <v>8</v>
      </c>
      <c r="D8" s="4">
        <f>COUNTIFS('V3 - Web Frontend Security'!$F$2:$F$39,"Compliant",'V3 - Web Frontend Security'!$E$2:$E$39,1)</f>
        <v>0</v>
      </c>
      <c r="E8" s="5">
        <f t="shared" si="0"/>
        <v>0</v>
      </c>
      <c r="F8" s="4">
        <v>11</v>
      </c>
      <c r="G8" s="4">
        <f>COUNTIFS('V3 - Web Frontend Security'!$F$2:$F$39,"Compliant",'V3 - Web Frontend Security'!$E$2:$E$39,2)</f>
        <v>0</v>
      </c>
      <c r="H8" s="5">
        <f t="shared" si="1"/>
        <v>0</v>
      </c>
      <c r="I8" s="4">
        <v>12</v>
      </c>
      <c r="J8" s="4">
        <f>COUNTIFS('V3 - Web Frontend Security'!$F$2:$F$39,"Compliant",'V3 - Web Frontend Security'!$E$2:$E$39,3)</f>
        <v>0</v>
      </c>
      <c r="K8" s="5">
        <f t="shared" si="2"/>
        <v>0</v>
      </c>
      <c r="L8" s="4">
        <f>COUNTIF('V3 - Web Frontend Security'!$F$2:$F$39,"Compliant")</f>
        <v>0</v>
      </c>
      <c r="M8" s="5">
        <f t="shared" si="3"/>
        <v>0</v>
      </c>
    </row>
    <row r="9" spans="1:16" ht="18" customHeight="1" x14ac:dyDescent="0.2">
      <c r="A9" s="6" t="s">
        <v>17</v>
      </c>
      <c r="B9" s="7">
        <v>16</v>
      </c>
      <c r="C9" s="7">
        <v>2</v>
      </c>
      <c r="D9" s="7">
        <f>COUNTIFS('V4 - API and Web Service'!$F$2:$F$21,"Compliant",'V4 - API and Web Service'!$E$2:$E$21,1)</f>
        <v>0</v>
      </c>
      <c r="E9" s="8">
        <f t="shared" si="0"/>
        <v>0</v>
      </c>
      <c r="F9" s="7">
        <v>8</v>
      </c>
      <c r="G9" s="7">
        <f>COUNTIFS('V4 - API and Web Service'!$F$2:$F$21,"Compliant",'V4 - API and Web Service'!$E$2:$E$21,2)</f>
        <v>0</v>
      </c>
      <c r="H9" s="8">
        <f t="shared" si="1"/>
        <v>0</v>
      </c>
      <c r="I9" s="7">
        <v>6</v>
      </c>
      <c r="J9" s="7">
        <f>COUNTIFS('V4 - API and Web Service'!$F$2:$F$21,"Compliant",'V4 - API and Web Service'!$E$2:$E$21,3)</f>
        <v>0</v>
      </c>
      <c r="K9" s="8">
        <f t="shared" si="2"/>
        <v>0</v>
      </c>
      <c r="L9" s="7">
        <f>COUNTIF('V4 - API and Web Service'!$F$2:$F$21,"Compliant")</f>
        <v>0</v>
      </c>
      <c r="M9" s="8">
        <f t="shared" si="3"/>
        <v>0</v>
      </c>
    </row>
    <row r="10" spans="1:16" ht="18" customHeight="1" x14ac:dyDescent="0.2">
      <c r="A10" s="3" t="s">
        <v>18</v>
      </c>
      <c r="B10" s="4">
        <v>13</v>
      </c>
      <c r="C10" s="4">
        <v>4</v>
      </c>
      <c r="D10" s="4">
        <f>COUNTIFS('V5 - File Handling'!$F$2:$F$18,"Compliant",'V5 - File Handling'!$E$2:$E$18,1)</f>
        <v>0</v>
      </c>
      <c r="E10" s="5">
        <f t="shared" si="0"/>
        <v>0</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0</v>
      </c>
      <c r="M10" s="5">
        <f t="shared" si="3"/>
        <v>0</v>
      </c>
    </row>
    <row r="11" spans="1:16" ht="18" customHeight="1" x14ac:dyDescent="0.2">
      <c r="A11" s="6" t="s">
        <v>19</v>
      </c>
      <c r="B11" s="7">
        <v>47</v>
      </c>
      <c r="C11" s="7">
        <v>13</v>
      </c>
      <c r="D11" s="7">
        <f>COUNTIFS('V6 - Authentication'!$F$2:$F$56,"Compliant",'V6 - Authentication'!$E$2:$E$56,1)</f>
        <v>0</v>
      </c>
      <c r="E11" s="8">
        <f t="shared" si="0"/>
        <v>0</v>
      </c>
      <c r="F11" s="7">
        <v>22</v>
      </c>
      <c r="G11" s="7">
        <f>COUNTIFS('V6 - Authentication'!$F$2:$F$56,"Compliant",'V6 - Authentication'!$E$2:$E$56,2)</f>
        <v>0</v>
      </c>
      <c r="H11" s="8">
        <f t="shared" si="1"/>
        <v>0</v>
      </c>
      <c r="I11" s="7">
        <v>12</v>
      </c>
      <c r="J11" s="7">
        <f>COUNTIFS('V6 - Authentication'!$F$2:$F$56,"Compliant",'V6 - Authentication'!$E$2:$E$56,3)</f>
        <v>0</v>
      </c>
      <c r="K11" s="8">
        <f t="shared" si="2"/>
        <v>0</v>
      </c>
      <c r="L11" s="7">
        <f>COUNTIF('V6 - Authentication'!$F$2:$F$56,"Compliant")</f>
        <v>0</v>
      </c>
      <c r="M11" s="8">
        <f t="shared" si="3"/>
        <v>0</v>
      </c>
    </row>
    <row r="12" spans="1:16" ht="18" customHeight="1" x14ac:dyDescent="0.2">
      <c r="A12" s="3" t="s">
        <v>20</v>
      </c>
      <c r="B12" s="4">
        <v>19</v>
      </c>
      <c r="C12" s="4">
        <v>6</v>
      </c>
      <c r="D12" s="4">
        <f>COUNTIFS('V7 - Session Management'!$F$2:$F$26,"Compliant",'V7 - Session Management'!$E$2:$E$26,1)</f>
        <v>0</v>
      </c>
      <c r="E12" s="5">
        <f t="shared" si="0"/>
        <v>0</v>
      </c>
      <c r="F12" s="4">
        <v>12</v>
      </c>
      <c r="G12" s="4">
        <f>COUNTIFS('V7 - Session Management'!$F$2:$F$26,"Compliant",'V7 - Session Management'!$E$2:$E$26,2)</f>
        <v>0</v>
      </c>
      <c r="H12" s="5">
        <f t="shared" si="1"/>
        <v>0</v>
      </c>
      <c r="I12" s="4">
        <v>1</v>
      </c>
      <c r="J12" s="4">
        <f>COUNTIFS('V7 - Session Management'!$F$2:$F$26,"Compliant",'V7 - Session Management'!$E$2:$E$26,3)</f>
        <v>0</v>
      </c>
      <c r="K12" s="5">
        <f t="shared" si="2"/>
        <v>0</v>
      </c>
      <c r="L12" s="4">
        <f>COUNTIF('V7 - Session Management'!$F$2:$F$26,"Compliant")</f>
        <v>0</v>
      </c>
      <c r="M12" s="5">
        <f t="shared" si="3"/>
        <v>0</v>
      </c>
    </row>
    <row r="13" spans="1:16" ht="18" customHeight="1" x14ac:dyDescent="0.2">
      <c r="A13" s="6" t="s">
        <v>21</v>
      </c>
      <c r="B13" s="7">
        <v>13</v>
      </c>
      <c r="C13" s="7">
        <v>4</v>
      </c>
      <c r="D13" s="7">
        <f>COUNTIFS('V8 - Authorization'!$F$2:$F$18,"Compliant",'V8 - Authorization'!$E$2:$E$18,1)</f>
        <v>0</v>
      </c>
      <c r="E13" s="8">
        <f t="shared" si="0"/>
        <v>0</v>
      </c>
      <c r="F13" s="7">
        <v>3</v>
      </c>
      <c r="G13" s="7">
        <f>COUNTIFS('V8 - Authorization'!$F$2:$F$18,"Compliant",'V8 - Authorization'!$E$2:$E$18,2)</f>
        <v>0</v>
      </c>
      <c r="H13" s="8">
        <f t="shared" si="1"/>
        <v>0</v>
      </c>
      <c r="I13" s="7">
        <v>6</v>
      </c>
      <c r="J13" s="7">
        <f>COUNTIFS('V8 - Authorization'!$F$2:$F$18,"Compliant",'V8 - Authorization'!$E$2:$E$18,3)</f>
        <v>0</v>
      </c>
      <c r="K13" s="8">
        <f t="shared" si="2"/>
        <v>0</v>
      </c>
      <c r="L13" s="7">
        <f>COUNTIF('V8 - Authorization'!$F$2:$F$18,"Compliant")</f>
        <v>0</v>
      </c>
      <c r="M13" s="8">
        <f t="shared" si="3"/>
        <v>0</v>
      </c>
    </row>
    <row r="14" spans="1:16" ht="18" customHeight="1" x14ac:dyDescent="0.2">
      <c r="A14" s="3" t="s">
        <v>22</v>
      </c>
      <c r="B14" s="4">
        <v>7</v>
      </c>
      <c r="C14" s="4">
        <v>4</v>
      </c>
      <c r="D14" s="4">
        <f>COUNTIFS('V9 - Self-contained Tokens'!$F$2:$F$10,"Compliant",'V9 - Self-contained Tokens'!$E$2:$E$10,1)</f>
        <v>0</v>
      </c>
      <c r="E14" s="5">
        <f t="shared" si="0"/>
        <v>0</v>
      </c>
      <c r="F14" s="4">
        <v>3</v>
      </c>
      <c r="G14" s="4">
        <f>COUNTIFS('V9 - Self-contained Tokens'!$F$2:$F$10,"Compliant",'V9 - Self-contained Tokens'!$E$2:$E$10,2)</f>
        <v>0</v>
      </c>
      <c r="H14" s="5">
        <f t="shared" si="1"/>
        <v>0</v>
      </c>
      <c r="I14" s="4">
        <v>0</v>
      </c>
      <c r="J14" s="4" t="s">
        <v>23</v>
      </c>
      <c r="K14" s="4" t="s">
        <v>23</v>
      </c>
      <c r="L14" s="4">
        <f>COUNTIF('V9 - Self-contained Tokens'!$F$2:$F$10,"Compliant")</f>
        <v>0</v>
      </c>
      <c r="M14" s="5">
        <f t="shared" si="3"/>
        <v>0</v>
      </c>
    </row>
    <row r="15" spans="1:16" ht="18" customHeight="1" x14ac:dyDescent="0.2">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2">
      <c r="A16" s="3" t="s">
        <v>25</v>
      </c>
      <c r="B16" s="4">
        <v>24</v>
      </c>
      <c r="C16" s="4">
        <v>3</v>
      </c>
      <c r="D16" s="4">
        <f>COUNTIFS('V11 - Cryptography'!$F$2:$F$32,"Compliant",'V11 - Cryptography'!$E$2:$E$32,1)</f>
        <v>0</v>
      </c>
      <c r="E16" s="5">
        <f t="shared" si="0"/>
        <v>0</v>
      </c>
      <c r="F16" s="4">
        <v>11</v>
      </c>
      <c r="G16" s="4">
        <f>COUNTIFS('V11 - Cryptography'!$F$2:$F$32,"Compliant",'V11 - Cryptography'!$E$2:$E$32,2)</f>
        <v>0</v>
      </c>
      <c r="H16" s="5">
        <f t="shared" si="1"/>
        <v>0</v>
      </c>
      <c r="I16" s="4">
        <v>10</v>
      </c>
      <c r="J16" s="4">
        <f>COUNTIFS('V11 - Cryptography'!$F$2:$F$32,"Compliant",'V11 - Cryptography'!$E$2:$E$32,3)</f>
        <v>0</v>
      </c>
      <c r="K16" s="5">
        <f t="shared" si="4"/>
        <v>0</v>
      </c>
      <c r="L16" s="4">
        <f>COUNTIF('V11 - Cryptography'!$F$2:$F$32,"Compliant")</f>
        <v>0</v>
      </c>
      <c r="M16" s="5">
        <f t="shared" si="3"/>
        <v>0</v>
      </c>
    </row>
    <row r="17" spans="1:13" ht="18" customHeight="1" x14ac:dyDescent="0.2">
      <c r="A17" s="6" t="s">
        <v>26</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2">
      <c r="A18" s="3" t="s">
        <v>27</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1</v>
      </c>
      <c r="K18" s="5">
        <f t="shared" si="4"/>
        <v>0.125</v>
      </c>
      <c r="L18" s="4">
        <f>COUNTIF('V13 - Configuration'!$F$2:$F$26,"Compliant")</f>
        <v>1</v>
      </c>
      <c r="M18" s="5">
        <f t="shared" si="3"/>
        <v>4.7619047619047616E-2</v>
      </c>
    </row>
    <row r="19" spans="1:13" ht="18" customHeight="1" x14ac:dyDescent="0.2">
      <c r="A19" s="6" t="s">
        <v>28</v>
      </c>
      <c r="B19" s="7">
        <v>13</v>
      </c>
      <c r="C19" s="7">
        <v>2</v>
      </c>
      <c r="D19" s="7">
        <f>COUNTIFS('V14 - Data Protection'!$F$2:$F$17,"Compliant",'V14 - Data Protection'!$E$2:$E$17,1)</f>
        <v>0</v>
      </c>
      <c r="E19" s="8">
        <f t="shared" si="0"/>
        <v>0</v>
      </c>
      <c r="F19" s="7">
        <v>7</v>
      </c>
      <c r="G19" s="7">
        <f>COUNTIFS('V14 - Data Protection'!$F$2:$F$17,"Compliant",'V14 - Data Protection'!$E$2:$E$17,2)</f>
        <v>0</v>
      </c>
      <c r="H19" s="8">
        <f t="shared" si="1"/>
        <v>0</v>
      </c>
      <c r="I19" s="7">
        <v>4</v>
      </c>
      <c r="J19" s="7">
        <f>COUNTIFS('V14 - Data Protection'!$F$2:$F$17,"Compliant",'V14 - Data Protection'!$E$2:$E$17,3)</f>
        <v>0</v>
      </c>
      <c r="K19" s="8">
        <f t="shared" si="4"/>
        <v>0</v>
      </c>
      <c r="L19" s="7">
        <f>COUNTIF('V14 - Data Protection'!$F$2:$F$17,"Compliant")</f>
        <v>0</v>
      </c>
      <c r="M19" s="8">
        <f t="shared" si="3"/>
        <v>0</v>
      </c>
    </row>
    <row r="20" spans="1:13" ht="18" customHeight="1" x14ac:dyDescent="0.2">
      <c r="A20" s="3" t="s">
        <v>29</v>
      </c>
      <c r="B20" s="4">
        <v>21</v>
      </c>
      <c r="C20" s="4">
        <v>3</v>
      </c>
      <c r="D20" s="4">
        <f>COUNTIFS('V15 - Secure Coding and Archite'!$F$2:$F$26,"Compliant",'V15 - Secure Coding and Archite'!$E$2:$E$26,1)</f>
        <v>0</v>
      </c>
      <c r="E20" s="5">
        <f t="shared" si="0"/>
        <v>0</v>
      </c>
      <c r="F20" s="4">
        <v>10</v>
      </c>
      <c r="G20" s="4">
        <f>COUNTIFS('V15 - Secure Coding and Archite'!$F$2:$F$26,"Compliant",'V15 - Secure Coding and Archite'!$E$2:$E$26,2)</f>
        <v>0</v>
      </c>
      <c r="H20" s="5">
        <f t="shared" si="1"/>
        <v>0</v>
      </c>
      <c r="I20" s="4">
        <v>8</v>
      </c>
      <c r="J20" s="4">
        <f>COUNTIFS('V15 - Secure Coding and Archite'!$F$2:$F$26,"Compliant",'V15 - Secure Coding and Archite'!$E$2:$E$26,3)</f>
        <v>0</v>
      </c>
      <c r="K20" s="5">
        <f t="shared" si="4"/>
        <v>0</v>
      </c>
      <c r="L20" s="4">
        <f>COUNTIF('V15 - Secure Coding and Archite'!$F$2:$F$26,"Compliant")</f>
        <v>0</v>
      </c>
      <c r="M20" s="5">
        <f t="shared" si="3"/>
        <v>0</v>
      </c>
    </row>
    <row r="21" spans="1:13" ht="18" customHeight="1" x14ac:dyDescent="0.2">
      <c r="A21" s="6" t="s">
        <v>30</v>
      </c>
      <c r="B21" s="7">
        <v>17</v>
      </c>
      <c r="C21" s="7">
        <v>0</v>
      </c>
      <c r="D21" s="7" t="s">
        <v>23</v>
      </c>
      <c r="E21" s="7" t="s">
        <v>23</v>
      </c>
      <c r="F21" s="7">
        <v>16</v>
      </c>
      <c r="G21" s="7">
        <f>COUNTIFS('V16 - Security Logging and Erro'!$F$2:$F$23,"Compliant",'V16 - Security Logging and Erro'!$E$2:$E$23,2)</f>
        <v>0</v>
      </c>
      <c r="H21" s="8">
        <f t="shared" si="1"/>
        <v>0</v>
      </c>
      <c r="I21" s="7">
        <v>1</v>
      </c>
      <c r="J21" s="7">
        <f>COUNTIFS('V16 - Security Logging and Erro'!$F$2:$F$23,"Compliant",'V16 - Security Logging and Erro'!$E$2:$E$23,3)</f>
        <v>0</v>
      </c>
      <c r="K21" s="8">
        <f t="shared" si="4"/>
        <v>0</v>
      </c>
      <c r="L21" s="7">
        <f>COUNTIF('V16 - Security Logging and Erro'!$F$2:$F$23,"Compliant")</f>
        <v>0</v>
      </c>
      <c r="M21" s="8">
        <f t="shared" si="3"/>
        <v>0</v>
      </c>
    </row>
    <row r="22" spans="1:13" ht="18" customHeight="1" x14ac:dyDescent="0.2">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 customHeight="1" x14ac:dyDescent="0.2">
      <c r="A23" s="9" t="s">
        <v>32</v>
      </c>
      <c r="B23" s="10">
        <f>SUM(B6:B22)</f>
        <v>345</v>
      </c>
      <c r="C23" s="10">
        <f>SUM(C6:C22)</f>
        <v>70</v>
      </c>
      <c r="D23" s="10">
        <f>SUM(D6:D22)</f>
        <v>0</v>
      </c>
      <c r="E23" s="11">
        <f>IFERROR(AVERAGE(E6:E22),"")</f>
        <v>0</v>
      </c>
      <c r="F23" s="10">
        <f>SUM(F6:F22)</f>
        <v>183</v>
      </c>
      <c r="G23" s="10">
        <f>SUM(G6:G22)</f>
        <v>0</v>
      </c>
      <c r="H23" s="11">
        <f>IFERROR(AVERAGE(H6:H22),"")</f>
        <v>0</v>
      </c>
      <c r="I23" s="10">
        <f>SUM(I6:I22)</f>
        <v>92</v>
      </c>
      <c r="J23" s="10">
        <f>SUM(J6:J22)</f>
        <v>1</v>
      </c>
      <c r="K23" s="11">
        <f>IFERROR(AVERAGE(K6:K22),"")</f>
        <v>7.8125E-3</v>
      </c>
      <c r="L23" s="10">
        <f>SUM(L6:L22)</f>
        <v>1</v>
      </c>
      <c r="M23" s="11">
        <f>IFERROR(AVERAGE(M6:M22),"")</f>
        <v>2.8011204481792717E-3</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Normal="75" workbookViewId="0">
      <pane ySplit="1" topLeftCell="A2" activePane="bottomLeft" state="frozen"/>
      <selection pane="bottomLeft" activeCell="D41" sqref="D41"/>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41</v>
      </c>
      <c r="B2" s="13" t="s">
        <v>42</v>
      </c>
      <c r="C2" s="13"/>
      <c r="D2" s="13"/>
      <c r="E2" s="13"/>
      <c r="F2" s="13"/>
      <c r="G2" s="13"/>
      <c r="H2" s="13"/>
    </row>
    <row r="3" spans="1:8" ht="30" customHeight="1" x14ac:dyDescent="0.2">
      <c r="A3" s="14" t="s">
        <v>41</v>
      </c>
      <c r="B3" s="14" t="s">
        <v>42</v>
      </c>
      <c r="C3" s="15" t="s">
        <v>43</v>
      </c>
      <c r="D3" s="16" t="s">
        <v>44</v>
      </c>
      <c r="E3" s="17">
        <v>2</v>
      </c>
      <c r="F3" s="18" t="s">
        <v>45</v>
      </c>
      <c r="G3" s="28" t="s">
        <v>896</v>
      </c>
      <c r="H3" s="16"/>
    </row>
    <row r="4" spans="1:8" ht="30" customHeight="1" x14ac:dyDescent="0.2">
      <c r="A4" s="19" t="s">
        <v>41</v>
      </c>
      <c r="B4" s="19" t="s">
        <v>42</v>
      </c>
      <c r="C4" s="20" t="s">
        <v>46</v>
      </c>
      <c r="D4" s="21" t="s">
        <v>47</v>
      </c>
      <c r="E4" s="17">
        <v>2</v>
      </c>
      <c r="F4" s="18" t="s">
        <v>45</v>
      </c>
      <c r="G4" s="21" t="s">
        <v>905</v>
      </c>
      <c r="H4" s="21"/>
    </row>
    <row r="5" spans="1:8" ht="18" customHeight="1" x14ac:dyDescent="0.2">
      <c r="A5" s="13" t="s">
        <v>48</v>
      </c>
      <c r="B5" s="13" t="s">
        <v>49</v>
      </c>
      <c r="C5" s="13"/>
      <c r="D5" s="13"/>
      <c r="E5" s="13"/>
      <c r="F5" s="13"/>
      <c r="G5" s="29"/>
      <c r="H5" s="13"/>
    </row>
    <row r="6" spans="1:8" ht="30" customHeight="1" x14ac:dyDescent="0.2">
      <c r="A6" s="14" t="s">
        <v>48</v>
      </c>
      <c r="B6" s="14" t="s">
        <v>49</v>
      </c>
      <c r="C6" s="15" t="s">
        <v>50</v>
      </c>
      <c r="D6" s="16" t="s">
        <v>51</v>
      </c>
      <c r="E6" s="22">
        <v>1</v>
      </c>
      <c r="F6" s="18" t="s">
        <v>514</v>
      </c>
      <c r="G6" s="16" t="s">
        <v>894</v>
      </c>
      <c r="H6" s="16"/>
    </row>
    <row r="7" spans="1:8" ht="30" customHeight="1" x14ac:dyDescent="0.2">
      <c r="A7" s="19" t="s">
        <v>48</v>
      </c>
      <c r="B7" s="19" t="s">
        <v>49</v>
      </c>
      <c r="C7" s="20" t="s">
        <v>52</v>
      </c>
      <c r="D7" s="21" t="s">
        <v>53</v>
      </c>
      <c r="E7" s="22">
        <v>1</v>
      </c>
      <c r="F7" s="18" t="s">
        <v>514</v>
      </c>
      <c r="G7" s="21" t="s">
        <v>916</v>
      </c>
      <c r="H7" s="21"/>
    </row>
    <row r="8" spans="1:8" ht="30" customHeight="1" x14ac:dyDescent="0.2">
      <c r="A8" s="14" t="s">
        <v>48</v>
      </c>
      <c r="B8" s="14" t="s">
        <v>49</v>
      </c>
      <c r="C8" s="15" t="s">
        <v>54</v>
      </c>
      <c r="D8" s="16" t="s">
        <v>55</v>
      </c>
      <c r="E8" s="22">
        <v>1</v>
      </c>
      <c r="F8" s="18" t="s">
        <v>45</v>
      </c>
      <c r="G8" s="16" t="s">
        <v>919</v>
      </c>
      <c r="H8" s="16"/>
    </row>
    <row r="9" spans="1:8" ht="30" customHeight="1" x14ac:dyDescent="0.2">
      <c r="A9" s="19" t="s">
        <v>48</v>
      </c>
      <c r="B9" s="19" t="s">
        <v>49</v>
      </c>
      <c r="C9" s="20" t="s">
        <v>56</v>
      </c>
      <c r="D9" s="21" t="s">
        <v>57</v>
      </c>
      <c r="E9" s="22">
        <v>1</v>
      </c>
      <c r="F9" s="18" t="s">
        <v>45</v>
      </c>
      <c r="G9" s="21" t="s">
        <v>926</v>
      </c>
      <c r="H9" s="21"/>
    </row>
    <row r="10" spans="1:8" ht="30" customHeight="1" x14ac:dyDescent="0.2">
      <c r="A10" s="14" t="s">
        <v>48</v>
      </c>
      <c r="B10" s="14" t="s">
        <v>49</v>
      </c>
      <c r="C10" s="15" t="s">
        <v>58</v>
      </c>
      <c r="D10" s="16" t="s">
        <v>59</v>
      </c>
      <c r="E10" s="22">
        <v>1</v>
      </c>
      <c r="F10" s="18" t="s">
        <v>45</v>
      </c>
      <c r="G10" s="16" t="s">
        <v>930</v>
      </c>
      <c r="H10" s="16"/>
    </row>
    <row r="11" spans="1:8" ht="30" customHeight="1" x14ac:dyDescent="0.2">
      <c r="A11" s="19" t="s">
        <v>48</v>
      </c>
      <c r="B11" s="19" t="s">
        <v>49</v>
      </c>
      <c r="C11" s="20" t="s">
        <v>60</v>
      </c>
      <c r="D11" s="21" t="s">
        <v>61</v>
      </c>
      <c r="E11" s="17">
        <v>2</v>
      </c>
      <c r="F11" s="18" t="s">
        <v>514</v>
      </c>
      <c r="G11" s="21"/>
      <c r="H11" s="21"/>
    </row>
    <row r="12" spans="1:8" ht="30" customHeight="1" x14ac:dyDescent="0.2">
      <c r="A12" s="14" t="s">
        <v>48</v>
      </c>
      <c r="B12" s="14" t="s">
        <v>49</v>
      </c>
      <c r="C12" s="15" t="s">
        <v>62</v>
      </c>
      <c r="D12" s="16" t="s">
        <v>63</v>
      </c>
      <c r="E12" s="17">
        <v>2</v>
      </c>
      <c r="F12" s="18" t="s">
        <v>514</v>
      </c>
      <c r="G12" s="16"/>
      <c r="H12" s="16"/>
    </row>
    <row r="13" spans="1:8" ht="30" customHeight="1" x14ac:dyDescent="0.2">
      <c r="A13" s="19" t="s">
        <v>48</v>
      </c>
      <c r="B13" s="19" t="s">
        <v>49</v>
      </c>
      <c r="C13" s="20" t="s">
        <v>64</v>
      </c>
      <c r="D13" s="21" t="s">
        <v>65</v>
      </c>
      <c r="E13" s="17">
        <v>2</v>
      </c>
      <c r="F13" s="18" t="s">
        <v>514</v>
      </c>
      <c r="G13" s="21"/>
      <c r="H13" s="21"/>
    </row>
    <row r="14" spans="1:8" ht="30" customHeight="1" x14ac:dyDescent="0.2">
      <c r="A14" s="14" t="s">
        <v>48</v>
      </c>
      <c r="B14" s="14" t="s">
        <v>49</v>
      </c>
      <c r="C14" s="15" t="s">
        <v>66</v>
      </c>
      <c r="D14" s="16" t="s">
        <v>67</v>
      </c>
      <c r="E14" s="17">
        <v>2</v>
      </c>
      <c r="F14" s="18" t="s">
        <v>45</v>
      </c>
      <c r="G14" s="16" t="s">
        <v>931</v>
      </c>
      <c r="H14" s="16"/>
    </row>
    <row r="15" spans="1:8" ht="30" customHeight="1" x14ac:dyDescent="0.2">
      <c r="A15" s="19" t="s">
        <v>48</v>
      </c>
      <c r="B15" s="19" t="s">
        <v>49</v>
      </c>
      <c r="C15" s="20" t="s">
        <v>68</v>
      </c>
      <c r="D15" s="21" t="s">
        <v>69</v>
      </c>
      <c r="E15" s="23">
        <v>3</v>
      </c>
      <c r="F15" s="18" t="s">
        <v>514</v>
      </c>
      <c r="G15" s="21"/>
      <c r="H15" s="21"/>
    </row>
    <row r="16" spans="1:8" ht="18" customHeight="1" x14ac:dyDescent="0.2">
      <c r="A16" s="13" t="s">
        <v>70</v>
      </c>
      <c r="B16" s="13" t="s">
        <v>71</v>
      </c>
      <c r="C16" s="13"/>
      <c r="D16" s="13"/>
      <c r="E16" s="13"/>
      <c r="F16" s="13"/>
      <c r="G16" s="13"/>
      <c r="H16" s="13"/>
    </row>
    <row r="17" spans="1:8" ht="30" customHeight="1" x14ac:dyDescent="0.2">
      <c r="A17" s="14" t="s">
        <v>70</v>
      </c>
      <c r="B17" s="14" t="s">
        <v>71</v>
      </c>
      <c r="C17" s="15" t="s">
        <v>72</v>
      </c>
      <c r="D17" s="16" t="s">
        <v>73</v>
      </c>
      <c r="E17" s="22">
        <v>1</v>
      </c>
      <c r="F17" s="18" t="s">
        <v>514</v>
      </c>
      <c r="G17" s="16"/>
      <c r="H17" s="16"/>
    </row>
    <row r="18" spans="1:8" ht="30" customHeight="1" x14ac:dyDescent="0.2">
      <c r="A18" s="19" t="s">
        <v>70</v>
      </c>
      <c r="B18" s="19" t="s">
        <v>71</v>
      </c>
      <c r="C18" s="20" t="s">
        <v>74</v>
      </c>
      <c r="D18" s="21" t="s">
        <v>75</v>
      </c>
      <c r="E18" s="22">
        <v>1</v>
      </c>
      <c r="F18" s="18" t="s">
        <v>45</v>
      </c>
      <c r="G18" s="21" t="s">
        <v>946</v>
      </c>
      <c r="H18" s="21"/>
    </row>
    <row r="19" spans="1:8" ht="30" customHeight="1" x14ac:dyDescent="0.2">
      <c r="A19" s="14" t="s">
        <v>70</v>
      </c>
      <c r="B19" s="14" t="s">
        <v>71</v>
      </c>
      <c r="C19" s="15" t="s">
        <v>76</v>
      </c>
      <c r="D19" s="16" t="s">
        <v>77</v>
      </c>
      <c r="E19" s="17">
        <v>2</v>
      </c>
      <c r="F19" s="18" t="s">
        <v>45</v>
      </c>
      <c r="G19" s="16" t="s">
        <v>954</v>
      </c>
      <c r="H19" s="16"/>
    </row>
    <row r="20" spans="1:8" ht="30" customHeight="1" x14ac:dyDescent="0.2">
      <c r="A20" s="19" t="s">
        <v>70</v>
      </c>
      <c r="B20" s="19" t="s">
        <v>71</v>
      </c>
      <c r="C20" s="20" t="s">
        <v>78</v>
      </c>
      <c r="D20" s="21" t="s">
        <v>79</v>
      </c>
      <c r="E20" s="17">
        <v>2</v>
      </c>
      <c r="F20" s="18" t="s">
        <v>514</v>
      </c>
      <c r="G20" s="21"/>
      <c r="H20" s="21"/>
    </row>
    <row r="21" spans="1:8" ht="30" customHeight="1" x14ac:dyDescent="0.2">
      <c r="A21" s="14" t="s">
        <v>70</v>
      </c>
      <c r="B21" s="14" t="s">
        <v>71</v>
      </c>
      <c r="C21" s="15" t="s">
        <v>80</v>
      </c>
      <c r="D21" s="16" t="s">
        <v>81</v>
      </c>
      <c r="E21" s="17">
        <v>2</v>
      </c>
      <c r="F21" s="18" t="s">
        <v>514</v>
      </c>
      <c r="G21" s="16"/>
      <c r="H21" s="16"/>
    </row>
    <row r="22" spans="1:8" ht="30" customHeight="1" x14ac:dyDescent="0.2">
      <c r="A22" s="19" t="s">
        <v>70</v>
      </c>
      <c r="B22" s="19" t="s">
        <v>71</v>
      </c>
      <c r="C22" s="20" t="s">
        <v>82</v>
      </c>
      <c r="D22" s="21" t="s">
        <v>83</v>
      </c>
      <c r="E22" s="17">
        <v>2</v>
      </c>
      <c r="F22" s="18" t="s">
        <v>45</v>
      </c>
      <c r="G22" s="21" t="s">
        <v>958</v>
      </c>
      <c r="H22" s="21"/>
    </row>
    <row r="23" spans="1:8" ht="30" customHeight="1" x14ac:dyDescent="0.2">
      <c r="A23" s="14" t="s">
        <v>70</v>
      </c>
      <c r="B23" s="14" t="s">
        <v>71</v>
      </c>
      <c r="C23" s="15" t="s">
        <v>84</v>
      </c>
      <c r="D23" s="16" t="s">
        <v>85</v>
      </c>
      <c r="E23" s="17">
        <v>2</v>
      </c>
      <c r="F23" s="18" t="s">
        <v>45</v>
      </c>
      <c r="G23" s="16" t="s">
        <v>960</v>
      </c>
      <c r="H23" s="16"/>
    </row>
    <row r="24" spans="1:8" ht="30" customHeight="1" x14ac:dyDescent="0.2">
      <c r="A24" s="19" t="s">
        <v>70</v>
      </c>
      <c r="B24" s="19" t="s">
        <v>71</v>
      </c>
      <c r="C24" s="20" t="s">
        <v>86</v>
      </c>
      <c r="D24" s="21" t="s">
        <v>87</v>
      </c>
      <c r="E24" s="17">
        <v>2</v>
      </c>
      <c r="F24" s="18" t="s">
        <v>45</v>
      </c>
      <c r="G24" s="21" t="s">
        <v>986</v>
      </c>
      <c r="H24" s="21"/>
    </row>
    <row r="25" spans="1:8" ht="30" customHeight="1" x14ac:dyDescent="0.2">
      <c r="A25" s="14" t="s">
        <v>70</v>
      </c>
      <c r="B25" s="14" t="s">
        <v>71</v>
      </c>
      <c r="C25" s="15" t="s">
        <v>88</v>
      </c>
      <c r="D25" s="16" t="s">
        <v>89</v>
      </c>
      <c r="E25" s="17">
        <v>2</v>
      </c>
      <c r="F25" s="18" t="s">
        <v>514</v>
      </c>
      <c r="G25" s="16"/>
      <c r="H25" s="16"/>
    </row>
    <row r="26" spans="1:8" ht="30" customHeight="1" x14ac:dyDescent="0.2">
      <c r="A26" s="19" t="s">
        <v>70</v>
      </c>
      <c r="B26" s="19" t="s">
        <v>71</v>
      </c>
      <c r="C26" s="20" t="s">
        <v>90</v>
      </c>
      <c r="D26" s="21" t="s">
        <v>91</v>
      </c>
      <c r="E26" s="17">
        <v>2</v>
      </c>
      <c r="F26" s="18" t="s">
        <v>45</v>
      </c>
      <c r="G26" s="28" t="s">
        <v>989</v>
      </c>
      <c r="H26" s="21"/>
    </row>
    <row r="27" spans="1:8" ht="30" customHeight="1" x14ac:dyDescent="0.2">
      <c r="A27" s="14" t="s">
        <v>70</v>
      </c>
      <c r="B27" s="14" t="s">
        <v>71</v>
      </c>
      <c r="C27" s="15" t="s">
        <v>92</v>
      </c>
      <c r="D27" s="16" t="s">
        <v>93</v>
      </c>
      <c r="E27" s="17">
        <v>2</v>
      </c>
      <c r="F27" s="18" t="s">
        <v>514</v>
      </c>
      <c r="G27" s="30"/>
      <c r="H27" s="16"/>
    </row>
    <row r="28" spans="1:8" ht="30" customHeight="1" x14ac:dyDescent="0.2">
      <c r="A28" s="19" t="s">
        <v>70</v>
      </c>
      <c r="B28" s="19" t="s">
        <v>71</v>
      </c>
      <c r="C28" s="20" t="s">
        <v>94</v>
      </c>
      <c r="D28" s="21" t="s">
        <v>95</v>
      </c>
      <c r="E28" s="23">
        <v>3</v>
      </c>
      <c r="F28" s="18" t="s">
        <v>45</v>
      </c>
      <c r="G28" s="21" t="s">
        <v>992</v>
      </c>
      <c r="H28" s="21"/>
    </row>
    <row r="29" spans="1:8" ht="18" customHeight="1" x14ac:dyDescent="0.2">
      <c r="A29" s="13" t="s">
        <v>96</v>
      </c>
      <c r="B29" s="13" t="s">
        <v>97</v>
      </c>
      <c r="C29" s="13"/>
      <c r="D29" s="13"/>
      <c r="E29" s="13"/>
      <c r="F29" s="13"/>
      <c r="G29" s="13"/>
      <c r="H29" s="13"/>
    </row>
    <row r="30" spans="1:8" ht="30" customHeight="1" x14ac:dyDescent="0.2">
      <c r="A30" s="14" t="s">
        <v>96</v>
      </c>
      <c r="B30" s="14" t="s">
        <v>97</v>
      </c>
      <c r="C30" s="15" t="s">
        <v>98</v>
      </c>
      <c r="D30" s="16" t="s">
        <v>99</v>
      </c>
      <c r="E30" s="17">
        <v>2</v>
      </c>
      <c r="F30" s="18" t="s">
        <v>45</v>
      </c>
      <c r="G30" s="16" t="s">
        <v>1014</v>
      </c>
      <c r="H30" s="16"/>
    </row>
    <row r="31" spans="1:8" ht="30" customHeight="1" x14ac:dyDescent="0.2">
      <c r="A31" s="19" t="s">
        <v>96</v>
      </c>
      <c r="B31" s="19" t="s">
        <v>97</v>
      </c>
      <c r="C31" s="20" t="s">
        <v>100</v>
      </c>
      <c r="D31" s="21" t="s">
        <v>101</v>
      </c>
      <c r="E31" s="17">
        <v>2</v>
      </c>
      <c r="F31" s="18" t="s">
        <v>45</v>
      </c>
      <c r="G31" s="21" t="s">
        <v>1015</v>
      </c>
      <c r="H31" s="21"/>
    </row>
    <row r="32" spans="1:8" ht="30" customHeight="1" x14ac:dyDescent="0.2">
      <c r="A32" s="14" t="s">
        <v>96</v>
      </c>
      <c r="B32" s="14" t="s">
        <v>97</v>
      </c>
      <c r="C32" s="15" t="s">
        <v>102</v>
      </c>
      <c r="D32" s="16" t="s">
        <v>103</v>
      </c>
      <c r="E32" s="17">
        <v>2</v>
      </c>
      <c r="F32" s="18" t="s">
        <v>514</v>
      </c>
      <c r="G32" s="16"/>
      <c r="H32" s="16"/>
    </row>
    <row r="33" spans="1:8" ht="18" customHeight="1" x14ac:dyDescent="0.2">
      <c r="A33" s="13" t="s">
        <v>104</v>
      </c>
      <c r="B33" s="13" t="s">
        <v>105</v>
      </c>
      <c r="C33" s="13"/>
      <c r="D33" s="13"/>
      <c r="E33" s="13"/>
      <c r="F33" s="13"/>
      <c r="G33" s="13"/>
      <c r="H33" s="13"/>
    </row>
    <row r="34" spans="1:8" ht="30" customHeight="1" x14ac:dyDescent="0.2">
      <c r="A34" s="14" t="s">
        <v>104</v>
      </c>
      <c r="B34" s="14" t="s">
        <v>105</v>
      </c>
      <c r="C34" s="15" t="s">
        <v>106</v>
      </c>
      <c r="D34" s="16" t="s">
        <v>107</v>
      </c>
      <c r="E34" s="22">
        <v>1</v>
      </c>
      <c r="F34" s="18" t="s">
        <v>514</v>
      </c>
      <c r="G34" s="16"/>
      <c r="H34" s="16"/>
    </row>
    <row r="35" spans="1:8" ht="30" customHeight="1" x14ac:dyDescent="0.2">
      <c r="A35" s="19" t="s">
        <v>104</v>
      </c>
      <c r="B35" s="19" t="s">
        <v>105</v>
      </c>
      <c r="C35" s="20" t="s">
        <v>108</v>
      </c>
      <c r="D35" s="21" t="s">
        <v>109</v>
      </c>
      <c r="E35" s="17">
        <v>2</v>
      </c>
      <c r="F35" s="18" t="s">
        <v>45</v>
      </c>
      <c r="G35" s="21" t="s">
        <v>1016</v>
      </c>
      <c r="H35" s="21"/>
    </row>
    <row r="36" spans="1:8" ht="30" customHeight="1" x14ac:dyDescent="0.2">
      <c r="A36" s="14" t="s">
        <v>104</v>
      </c>
      <c r="B36" s="14" t="s">
        <v>105</v>
      </c>
      <c r="C36" s="15" t="s">
        <v>110</v>
      </c>
      <c r="D36" s="16" t="s">
        <v>111</v>
      </c>
      <c r="E36" s="23">
        <v>3</v>
      </c>
      <c r="F36" s="18" t="s">
        <v>45</v>
      </c>
      <c r="G36" s="16" t="s">
        <v>1019</v>
      </c>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112</v>
      </c>
      <c r="B2" s="13" t="s">
        <v>113</v>
      </c>
      <c r="C2" s="13"/>
      <c r="D2" s="13"/>
      <c r="E2" s="13"/>
      <c r="F2" s="13"/>
      <c r="G2" s="13"/>
      <c r="H2" s="13"/>
    </row>
    <row r="3" spans="1:8" ht="30" customHeight="1" x14ac:dyDescent="0.2">
      <c r="A3" s="14" t="s">
        <v>112</v>
      </c>
      <c r="B3" s="14" t="s">
        <v>113</v>
      </c>
      <c r="C3" s="15" t="s">
        <v>114</v>
      </c>
      <c r="D3" s="16" t="s">
        <v>115</v>
      </c>
      <c r="E3" s="22">
        <v>1</v>
      </c>
      <c r="F3" s="18" t="s">
        <v>741</v>
      </c>
      <c r="G3" s="16" t="s">
        <v>1021</v>
      </c>
      <c r="H3" s="16"/>
    </row>
    <row r="4" spans="1:8" ht="30" customHeight="1" x14ac:dyDescent="0.2">
      <c r="A4" s="19" t="s">
        <v>112</v>
      </c>
      <c r="B4" s="19" t="s">
        <v>113</v>
      </c>
      <c r="C4" s="20" t="s">
        <v>116</v>
      </c>
      <c r="D4" s="21" t="s">
        <v>117</v>
      </c>
      <c r="E4" s="17">
        <v>2</v>
      </c>
      <c r="F4" s="18" t="s">
        <v>741</v>
      </c>
      <c r="G4" s="28" t="s">
        <v>1022</v>
      </c>
      <c r="H4" s="21"/>
    </row>
    <row r="5" spans="1:8" ht="30" customHeight="1" x14ac:dyDescent="0.2">
      <c r="A5" s="14" t="s">
        <v>112</v>
      </c>
      <c r="B5" s="14" t="s">
        <v>113</v>
      </c>
      <c r="C5" s="15" t="s">
        <v>118</v>
      </c>
      <c r="D5" s="16" t="s">
        <v>119</v>
      </c>
      <c r="E5" s="17">
        <v>2</v>
      </c>
      <c r="F5" s="18" t="s">
        <v>741</v>
      </c>
      <c r="G5" s="16" t="s">
        <v>1023</v>
      </c>
      <c r="H5" s="16"/>
    </row>
    <row r="6" spans="1:8" ht="18" customHeight="1" x14ac:dyDescent="0.2">
      <c r="A6" s="13" t="s">
        <v>120</v>
      </c>
      <c r="B6" s="13" t="s">
        <v>121</v>
      </c>
      <c r="C6" s="13"/>
      <c r="D6" s="13"/>
      <c r="E6" s="13"/>
      <c r="F6" s="13"/>
      <c r="G6" s="13"/>
      <c r="H6" s="13"/>
    </row>
    <row r="7" spans="1:8" ht="30" customHeight="1" x14ac:dyDescent="0.2">
      <c r="A7" s="14" t="s">
        <v>120</v>
      </c>
      <c r="B7" s="14" t="s">
        <v>121</v>
      </c>
      <c r="C7" s="15" t="s">
        <v>122</v>
      </c>
      <c r="D7" s="16" t="s">
        <v>123</v>
      </c>
      <c r="E7" s="22">
        <v>1</v>
      </c>
      <c r="F7" s="18" t="s">
        <v>45</v>
      </c>
      <c r="G7" s="16" t="s">
        <v>1024</v>
      </c>
      <c r="H7" s="16"/>
    </row>
    <row r="8" spans="1:8" ht="30" customHeight="1" x14ac:dyDescent="0.2">
      <c r="A8" s="19" t="s">
        <v>120</v>
      </c>
      <c r="B8" s="19" t="s">
        <v>121</v>
      </c>
      <c r="C8" s="20" t="s">
        <v>124</v>
      </c>
      <c r="D8" s="21" t="s">
        <v>125</v>
      </c>
      <c r="E8" s="22">
        <v>1</v>
      </c>
      <c r="F8" s="18" t="s">
        <v>45</v>
      </c>
      <c r="G8" s="21" t="s">
        <v>1028</v>
      </c>
      <c r="H8" s="21"/>
    </row>
    <row r="9" spans="1:8" ht="30" customHeight="1" x14ac:dyDescent="0.2">
      <c r="A9" s="14" t="s">
        <v>120</v>
      </c>
      <c r="B9" s="14" t="s">
        <v>121</v>
      </c>
      <c r="C9" s="15" t="s">
        <v>126</v>
      </c>
      <c r="D9" s="16" t="s">
        <v>127</v>
      </c>
      <c r="E9" s="17">
        <v>2</v>
      </c>
      <c r="F9" s="18" t="s">
        <v>45</v>
      </c>
      <c r="G9" s="28" t="s">
        <v>1029</v>
      </c>
      <c r="H9" s="16"/>
    </row>
    <row r="10" spans="1:8" ht="18" customHeight="1" x14ac:dyDescent="0.2">
      <c r="A10" s="13" t="s">
        <v>128</v>
      </c>
      <c r="B10" s="13" t="s">
        <v>129</v>
      </c>
      <c r="C10" s="13"/>
      <c r="D10" s="13"/>
      <c r="E10" s="13"/>
      <c r="F10" s="13"/>
      <c r="G10" s="13"/>
      <c r="H10" s="13"/>
    </row>
    <row r="11" spans="1:8" ht="30" customHeight="1" x14ac:dyDescent="0.2">
      <c r="A11" s="14" t="s">
        <v>128</v>
      </c>
      <c r="B11" s="14" t="s">
        <v>129</v>
      </c>
      <c r="C11" s="15" t="s">
        <v>130</v>
      </c>
      <c r="D11" s="16" t="s">
        <v>131</v>
      </c>
      <c r="E11" s="22">
        <v>1</v>
      </c>
      <c r="F11" s="18" t="s">
        <v>45</v>
      </c>
      <c r="G11" s="16" t="s">
        <v>1025</v>
      </c>
      <c r="H11" s="16"/>
    </row>
    <row r="12" spans="1:8" ht="30" customHeight="1" x14ac:dyDescent="0.2">
      <c r="A12" s="19" t="s">
        <v>128</v>
      </c>
      <c r="B12" s="19" t="s">
        <v>129</v>
      </c>
      <c r="C12" s="20" t="s">
        <v>132</v>
      </c>
      <c r="D12" s="21" t="s">
        <v>133</v>
      </c>
      <c r="E12" s="17">
        <v>2</v>
      </c>
      <c r="F12" s="18" t="s">
        <v>45</v>
      </c>
      <c r="G12" s="21" t="s">
        <v>1026</v>
      </c>
      <c r="H12" s="21"/>
    </row>
    <row r="13" spans="1:8" ht="30" customHeight="1" x14ac:dyDescent="0.2">
      <c r="A13" s="14" t="s">
        <v>128</v>
      </c>
      <c r="B13" s="14" t="s">
        <v>129</v>
      </c>
      <c r="C13" s="15" t="s">
        <v>134</v>
      </c>
      <c r="D13" s="16" t="s">
        <v>135</v>
      </c>
      <c r="E13" s="17">
        <v>2</v>
      </c>
      <c r="F13" s="18" t="s">
        <v>45</v>
      </c>
      <c r="G13" s="16" t="s">
        <v>1027</v>
      </c>
      <c r="H13" s="16"/>
    </row>
    <row r="14" spans="1:8" ht="30" customHeight="1" x14ac:dyDescent="0.2">
      <c r="A14" s="19" t="s">
        <v>128</v>
      </c>
      <c r="B14" s="19" t="s">
        <v>129</v>
      </c>
      <c r="C14" s="20" t="s">
        <v>136</v>
      </c>
      <c r="D14" s="21" t="s">
        <v>137</v>
      </c>
      <c r="E14" s="17">
        <v>2</v>
      </c>
      <c r="F14" s="18" t="s">
        <v>514</v>
      </c>
      <c r="G14" s="21"/>
      <c r="H14" s="21"/>
    </row>
    <row r="15" spans="1:8" ht="30" customHeight="1" x14ac:dyDescent="0.2">
      <c r="A15" s="14" t="s">
        <v>128</v>
      </c>
      <c r="B15" s="14" t="s">
        <v>129</v>
      </c>
      <c r="C15" s="15" t="s">
        <v>138</v>
      </c>
      <c r="D15" s="16" t="s">
        <v>139</v>
      </c>
      <c r="E15" s="23">
        <v>3</v>
      </c>
      <c r="F15" s="18" t="s">
        <v>514</v>
      </c>
      <c r="G15" s="16"/>
      <c r="H15" s="16"/>
    </row>
    <row r="16" spans="1:8" ht="18" customHeight="1" x14ac:dyDescent="0.2">
      <c r="A16" s="13" t="s">
        <v>140</v>
      </c>
      <c r="B16" s="13" t="s">
        <v>141</v>
      </c>
      <c r="C16" s="13"/>
      <c r="D16" s="13"/>
      <c r="E16" s="13"/>
      <c r="F16" s="13"/>
      <c r="G16" s="13"/>
      <c r="H16" s="13"/>
    </row>
    <row r="17" spans="1:8" ht="30" customHeight="1" x14ac:dyDescent="0.2">
      <c r="A17" s="14" t="s">
        <v>140</v>
      </c>
      <c r="B17" s="14" t="s">
        <v>141</v>
      </c>
      <c r="C17" s="15" t="s">
        <v>142</v>
      </c>
      <c r="D17" s="16" t="s">
        <v>143</v>
      </c>
      <c r="E17" s="17">
        <v>2</v>
      </c>
      <c r="F17" s="18" t="s">
        <v>45</v>
      </c>
      <c r="G17" s="16" t="s">
        <v>1031</v>
      </c>
      <c r="H17" s="16"/>
    </row>
    <row r="18" spans="1:8" ht="30" customHeight="1" x14ac:dyDescent="0.2">
      <c r="A18" s="19" t="s">
        <v>140</v>
      </c>
      <c r="B18" s="19" t="s">
        <v>141</v>
      </c>
      <c r="C18" s="20" t="s">
        <v>144</v>
      </c>
      <c r="D18" s="21" t="s">
        <v>145</v>
      </c>
      <c r="E18" s="23">
        <v>3</v>
      </c>
      <c r="F18" s="18" t="s">
        <v>45</v>
      </c>
      <c r="G18" s="21" t="s">
        <v>1032</v>
      </c>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125" zoomScaleNormal="75" workbookViewId="0">
      <pane ySplit="1" topLeftCell="A2" activePane="bottomLeft" state="frozen"/>
      <selection pane="bottomLeft" activeCell="J9" sqref="J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146</v>
      </c>
      <c r="B2" s="13" t="s">
        <v>147</v>
      </c>
      <c r="C2" s="13"/>
      <c r="D2" s="13"/>
      <c r="E2" s="13"/>
      <c r="F2" s="13"/>
      <c r="G2" s="13"/>
      <c r="H2" s="13"/>
    </row>
    <row r="3" spans="1:8" ht="30" customHeight="1" x14ac:dyDescent="0.2">
      <c r="A3" s="14" t="s">
        <v>146</v>
      </c>
      <c r="B3" s="14" t="s">
        <v>147</v>
      </c>
      <c r="C3" s="15" t="s">
        <v>148</v>
      </c>
      <c r="D3" s="16" t="s">
        <v>149</v>
      </c>
      <c r="E3" s="23">
        <v>3</v>
      </c>
      <c r="F3" s="18" t="s">
        <v>514</v>
      </c>
      <c r="G3" s="16"/>
      <c r="H3" s="16"/>
    </row>
    <row r="4" spans="1:8" ht="18" customHeight="1" x14ac:dyDescent="0.2">
      <c r="A4" s="13" t="s">
        <v>150</v>
      </c>
      <c r="B4" s="13" t="s">
        <v>151</v>
      </c>
      <c r="C4" s="13"/>
      <c r="D4" s="13"/>
      <c r="E4" s="13"/>
      <c r="F4" s="13"/>
      <c r="G4" s="13"/>
      <c r="H4" s="13"/>
    </row>
    <row r="5" spans="1:8" ht="30" customHeight="1" x14ac:dyDescent="0.2">
      <c r="A5" s="14" t="s">
        <v>150</v>
      </c>
      <c r="B5" s="14" t="s">
        <v>151</v>
      </c>
      <c r="C5" s="15" t="s">
        <v>152</v>
      </c>
      <c r="D5" s="16" t="s">
        <v>153</v>
      </c>
      <c r="E5" s="22">
        <v>1</v>
      </c>
      <c r="F5" s="18" t="s">
        <v>514</v>
      </c>
      <c r="G5" s="16"/>
      <c r="H5" s="16"/>
    </row>
    <row r="6" spans="1:8" ht="30" customHeight="1" x14ac:dyDescent="0.2">
      <c r="A6" s="19" t="s">
        <v>150</v>
      </c>
      <c r="B6" s="19" t="s">
        <v>151</v>
      </c>
      <c r="C6" s="20" t="s">
        <v>154</v>
      </c>
      <c r="D6" s="21" t="s">
        <v>155</v>
      </c>
      <c r="E6" s="22">
        <v>1</v>
      </c>
      <c r="F6" s="18" t="s">
        <v>514</v>
      </c>
      <c r="G6" s="21"/>
      <c r="H6" s="21"/>
    </row>
    <row r="7" spans="1:8" ht="30" customHeight="1" x14ac:dyDescent="0.2">
      <c r="A7" s="14" t="s">
        <v>150</v>
      </c>
      <c r="B7" s="14" t="s">
        <v>151</v>
      </c>
      <c r="C7" s="15" t="s">
        <v>156</v>
      </c>
      <c r="D7" s="16" t="s">
        <v>157</v>
      </c>
      <c r="E7" s="23">
        <v>3</v>
      </c>
      <c r="F7" s="18" t="s">
        <v>514</v>
      </c>
      <c r="G7" s="16"/>
      <c r="H7" s="16"/>
    </row>
    <row r="8" spans="1:8" ht="18" customHeight="1" x14ac:dyDescent="0.2">
      <c r="A8" s="13" t="s">
        <v>158</v>
      </c>
      <c r="B8" s="13" t="s">
        <v>159</v>
      </c>
      <c r="C8" s="13"/>
      <c r="D8" s="13"/>
      <c r="E8" s="13"/>
      <c r="F8" s="13"/>
      <c r="G8" s="13"/>
      <c r="H8" s="13"/>
    </row>
    <row r="9" spans="1:8" ht="30" customHeight="1" x14ac:dyDescent="0.2">
      <c r="A9" s="14" t="s">
        <v>158</v>
      </c>
      <c r="B9" s="14" t="s">
        <v>159</v>
      </c>
      <c r="C9" s="15" t="s">
        <v>160</v>
      </c>
      <c r="D9" s="16" t="s">
        <v>161</v>
      </c>
      <c r="E9" s="22">
        <v>1</v>
      </c>
      <c r="F9" s="18" t="s">
        <v>514</v>
      </c>
      <c r="G9" s="16"/>
      <c r="H9" s="16"/>
    </row>
    <row r="10" spans="1:8" ht="30" customHeight="1" x14ac:dyDescent="0.2">
      <c r="A10" s="19" t="s">
        <v>158</v>
      </c>
      <c r="B10" s="19" t="s">
        <v>159</v>
      </c>
      <c r="C10" s="20" t="s">
        <v>162</v>
      </c>
      <c r="D10" s="21" t="s">
        <v>163</v>
      </c>
      <c r="E10" s="17">
        <v>2</v>
      </c>
      <c r="F10" s="18" t="s">
        <v>514</v>
      </c>
      <c r="G10" s="21"/>
      <c r="H10" s="21"/>
    </row>
    <row r="11" spans="1:8" ht="30" customHeight="1" x14ac:dyDescent="0.2">
      <c r="A11" s="14" t="s">
        <v>158</v>
      </c>
      <c r="B11" s="14" t="s">
        <v>159</v>
      </c>
      <c r="C11" s="15" t="s">
        <v>164</v>
      </c>
      <c r="D11" s="16" t="s">
        <v>165</v>
      </c>
      <c r="E11" s="17">
        <v>2</v>
      </c>
      <c r="F11" s="18" t="s">
        <v>514</v>
      </c>
      <c r="G11" s="16"/>
      <c r="H11" s="16"/>
    </row>
    <row r="12" spans="1:8" ht="30" customHeight="1" x14ac:dyDescent="0.2">
      <c r="A12" s="19" t="s">
        <v>158</v>
      </c>
      <c r="B12" s="19" t="s">
        <v>159</v>
      </c>
      <c r="C12" s="20" t="s">
        <v>166</v>
      </c>
      <c r="D12" s="21" t="s">
        <v>167</v>
      </c>
      <c r="E12" s="17">
        <v>2</v>
      </c>
      <c r="F12" s="18" t="s">
        <v>514</v>
      </c>
      <c r="G12" s="21"/>
      <c r="H12" s="21"/>
    </row>
    <row r="13" spans="1:8" ht="30" customHeight="1" x14ac:dyDescent="0.2">
      <c r="A13" s="14" t="s">
        <v>158</v>
      </c>
      <c r="B13" s="14" t="s">
        <v>159</v>
      </c>
      <c r="C13" s="15" t="s">
        <v>168</v>
      </c>
      <c r="D13" s="16" t="s">
        <v>169</v>
      </c>
      <c r="E13" s="23">
        <v>3</v>
      </c>
      <c r="F13" s="18" t="s">
        <v>514</v>
      </c>
      <c r="G13" s="16"/>
      <c r="H13" s="16"/>
    </row>
    <row r="14" spans="1:8" ht="18" customHeight="1" x14ac:dyDescent="0.2">
      <c r="A14" s="13" t="s">
        <v>170</v>
      </c>
      <c r="B14" s="13" t="s">
        <v>171</v>
      </c>
      <c r="C14" s="13"/>
      <c r="D14" s="13"/>
      <c r="E14" s="13"/>
      <c r="F14" s="13"/>
      <c r="G14" s="13"/>
      <c r="H14" s="13"/>
    </row>
    <row r="15" spans="1:8" ht="30" customHeight="1" x14ac:dyDescent="0.2">
      <c r="A15" s="14" t="s">
        <v>170</v>
      </c>
      <c r="B15" s="14" t="s">
        <v>171</v>
      </c>
      <c r="C15" s="15" t="s">
        <v>172</v>
      </c>
      <c r="D15" s="16" t="s">
        <v>173</v>
      </c>
      <c r="E15" s="22">
        <v>1</v>
      </c>
      <c r="F15" s="18" t="s">
        <v>514</v>
      </c>
      <c r="G15" s="16"/>
      <c r="H15" s="16"/>
    </row>
    <row r="16" spans="1:8" ht="30" customHeight="1" x14ac:dyDescent="0.2">
      <c r="A16" s="19" t="s">
        <v>170</v>
      </c>
      <c r="B16" s="19" t="s">
        <v>171</v>
      </c>
      <c r="C16" s="20" t="s">
        <v>174</v>
      </c>
      <c r="D16" s="21" t="s">
        <v>175</v>
      </c>
      <c r="E16" s="22">
        <v>1</v>
      </c>
      <c r="F16" s="18" t="s">
        <v>514</v>
      </c>
      <c r="G16" s="21"/>
      <c r="H16" s="21"/>
    </row>
    <row r="17" spans="1:8" ht="30" customHeight="1" x14ac:dyDescent="0.2">
      <c r="A17" s="14" t="s">
        <v>170</v>
      </c>
      <c r="B17" s="14" t="s">
        <v>171</v>
      </c>
      <c r="C17" s="15" t="s">
        <v>176</v>
      </c>
      <c r="D17" s="16" t="s">
        <v>177</v>
      </c>
      <c r="E17" s="17">
        <v>2</v>
      </c>
      <c r="F17" s="18" t="s">
        <v>514</v>
      </c>
      <c r="G17" s="16"/>
      <c r="H17" s="16"/>
    </row>
    <row r="18" spans="1:8" ht="30" customHeight="1" x14ac:dyDescent="0.2">
      <c r="A18" s="19" t="s">
        <v>170</v>
      </c>
      <c r="B18" s="19" t="s">
        <v>171</v>
      </c>
      <c r="C18" s="20" t="s">
        <v>178</v>
      </c>
      <c r="D18" s="21" t="s">
        <v>179</v>
      </c>
      <c r="E18" s="17">
        <v>2</v>
      </c>
      <c r="F18" s="18" t="s">
        <v>514</v>
      </c>
      <c r="G18" s="21"/>
      <c r="H18" s="21"/>
    </row>
    <row r="19" spans="1:8" ht="30" customHeight="1" x14ac:dyDescent="0.2">
      <c r="A19" s="14" t="s">
        <v>170</v>
      </c>
      <c r="B19" s="14" t="s">
        <v>171</v>
      </c>
      <c r="C19" s="15" t="s">
        <v>180</v>
      </c>
      <c r="D19" s="16" t="s">
        <v>181</v>
      </c>
      <c r="E19" s="17">
        <v>2</v>
      </c>
      <c r="F19" s="18" t="s">
        <v>514</v>
      </c>
      <c r="G19" s="16"/>
      <c r="H19" s="16"/>
    </row>
    <row r="20" spans="1:8" ht="30" customHeight="1" x14ac:dyDescent="0.2">
      <c r="A20" s="19" t="s">
        <v>170</v>
      </c>
      <c r="B20" s="19" t="s">
        <v>171</v>
      </c>
      <c r="C20" s="20" t="s">
        <v>182</v>
      </c>
      <c r="D20" s="21" t="s">
        <v>183</v>
      </c>
      <c r="E20" s="17">
        <v>2</v>
      </c>
      <c r="F20" s="18" t="s">
        <v>514</v>
      </c>
      <c r="G20" s="21"/>
      <c r="H20" s="21"/>
    </row>
    <row r="21" spans="1:8" ht="30" customHeight="1" x14ac:dyDescent="0.2">
      <c r="A21" s="14" t="s">
        <v>170</v>
      </c>
      <c r="B21" s="14" t="s">
        <v>171</v>
      </c>
      <c r="C21" s="15" t="s">
        <v>184</v>
      </c>
      <c r="D21" s="16" t="s">
        <v>185</v>
      </c>
      <c r="E21" s="23">
        <v>3</v>
      </c>
      <c r="F21" s="18" t="s">
        <v>514</v>
      </c>
      <c r="G21" s="16"/>
      <c r="H21" s="16"/>
    </row>
    <row r="22" spans="1:8" ht="30" customHeight="1" x14ac:dyDescent="0.2">
      <c r="A22" s="19" t="s">
        <v>170</v>
      </c>
      <c r="B22" s="19" t="s">
        <v>171</v>
      </c>
      <c r="C22" s="20" t="s">
        <v>186</v>
      </c>
      <c r="D22" s="21" t="s">
        <v>187</v>
      </c>
      <c r="E22" s="23">
        <v>3</v>
      </c>
      <c r="F22" s="18" t="s">
        <v>514</v>
      </c>
      <c r="G22" s="21"/>
      <c r="H22" s="21"/>
    </row>
    <row r="23" spans="1:8" ht="18" customHeight="1" x14ac:dyDescent="0.2">
      <c r="A23" s="13" t="s">
        <v>188</v>
      </c>
      <c r="B23" s="13" t="s">
        <v>189</v>
      </c>
      <c r="C23" s="13"/>
      <c r="D23" s="13"/>
      <c r="E23" s="13"/>
      <c r="F23" s="13"/>
      <c r="G23" s="13"/>
      <c r="H23" s="13"/>
    </row>
    <row r="24" spans="1:8" ht="30" customHeight="1" x14ac:dyDescent="0.2">
      <c r="A24" s="14" t="s">
        <v>188</v>
      </c>
      <c r="B24" s="14" t="s">
        <v>189</v>
      </c>
      <c r="C24" s="15" t="s">
        <v>190</v>
      </c>
      <c r="D24" s="16" t="s">
        <v>191</v>
      </c>
      <c r="E24" s="22">
        <v>1</v>
      </c>
      <c r="F24" s="18" t="s">
        <v>514</v>
      </c>
      <c r="G24" s="16"/>
      <c r="H24" s="16"/>
    </row>
    <row r="25" spans="1:8" ht="30" customHeight="1" x14ac:dyDescent="0.2">
      <c r="A25" s="19" t="s">
        <v>188</v>
      </c>
      <c r="B25" s="19" t="s">
        <v>189</v>
      </c>
      <c r="C25" s="20" t="s">
        <v>192</v>
      </c>
      <c r="D25" s="21" t="s">
        <v>193</v>
      </c>
      <c r="E25" s="22">
        <v>1</v>
      </c>
      <c r="F25" s="18" t="s">
        <v>514</v>
      </c>
      <c r="G25" s="21"/>
      <c r="H25" s="21"/>
    </row>
    <row r="26" spans="1:8" ht="30" customHeight="1" x14ac:dyDescent="0.2">
      <c r="A26" s="14" t="s">
        <v>188</v>
      </c>
      <c r="B26" s="14" t="s">
        <v>189</v>
      </c>
      <c r="C26" s="15" t="s">
        <v>194</v>
      </c>
      <c r="D26" s="16" t="s">
        <v>195</v>
      </c>
      <c r="E26" s="22">
        <v>1</v>
      </c>
      <c r="F26" s="18" t="s">
        <v>514</v>
      </c>
      <c r="G26" s="16"/>
      <c r="H26" s="16"/>
    </row>
    <row r="27" spans="1:8" ht="30" customHeight="1" x14ac:dyDescent="0.2">
      <c r="A27" s="19" t="s">
        <v>188</v>
      </c>
      <c r="B27" s="19" t="s">
        <v>189</v>
      </c>
      <c r="C27" s="20" t="s">
        <v>196</v>
      </c>
      <c r="D27" s="21" t="s">
        <v>197</v>
      </c>
      <c r="E27" s="17">
        <v>2</v>
      </c>
      <c r="F27" s="18" t="s">
        <v>514</v>
      </c>
      <c r="G27" s="21"/>
      <c r="H27" s="21"/>
    </row>
    <row r="28" spans="1:8" ht="30" customHeight="1" x14ac:dyDescent="0.2">
      <c r="A28" s="14" t="s">
        <v>188</v>
      </c>
      <c r="B28" s="14" t="s">
        <v>189</v>
      </c>
      <c r="C28" s="15" t="s">
        <v>198</v>
      </c>
      <c r="D28" s="16" t="s">
        <v>199</v>
      </c>
      <c r="E28" s="17">
        <v>2</v>
      </c>
      <c r="F28" s="18" t="s">
        <v>514</v>
      </c>
      <c r="G28" s="16"/>
      <c r="H28" s="16"/>
    </row>
    <row r="29" spans="1:8" ht="30" customHeight="1" x14ac:dyDescent="0.2">
      <c r="A29" s="19" t="s">
        <v>188</v>
      </c>
      <c r="B29" s="19" t="s">
        <v>189</v>
      </c>
      <c r="C29" s="20" t="s">
        <v>200</v>
      </c>
      <c r="D29" s="21" t="s">
        <v>201</v>
      </c>
      <c r="E29" s="23">
        <v>3</v>
      </c>
      <c r="F29" s="18" t="s">
        <v>514</v>
      </c>
      <c r="G29" s="21"/>
      <c r="H29" s="21"/>
    </row>
    <row r="30" spans="1:8" ht="30" customHeight="1" x14ac:dyDescent="0.2">
      <c r="A30" s="14" t="s">
        <v>188</v>
      </c>
      <c r="B30" s="14" t="s">
        <v>189</v>
      </c>
      <c r="C30" s="15" t="s">
        <v>202</v>
      </c>
      <c r="D30" s="16" t="s">
        <v>203</v>
      </c>
      <c r="E30" s="23">
        <v>3</v>
      </c>
      <c r="F30" s="18" t="s">
        <v>514</v>
      </c>
      <c r="G30" s="16"/>
      <c r="H30" s="16"/>
    </row>
    <row r="31" spans="1:8" ht="30" customHeight="1" x14ac:dyDescent="0.2">
      <c r="A31" s="19" t="s">
        <v>188</v>
      </c>
      <c r="B31" s="19" t="s">
        <v>189</v>
      </c>
      <c r="C31" s="20" t="s">
        <v>204</v>
      </c>
      <c r="D31" s="21" t="s">
        <v>205</v>
      </c>
      <c r="E31" s="23">
        <v>3</v>
      </c>
      <c r="F31" s="18" t="s">
        <v>514</v>
      </c>
      <c r="G31" s="21"/>
      <c r="H31" s="21"/>
    </row>
    <row r="32" spans="1:8" ht="18" customHeight="1" x14ac:dyDescent="0.2">
      <c r="A32" s="13" t="s">
        <v>206</v>
      </c>
      <c r="B32" s="13" t="s">
        <v>207</v>
      </c>
      <c r="C32" s="13"/>
      <c r="D32" s="13"/>
      <c r="E32" s="13"/>
      <c r="F32" s="13"/>
      <c r="G32" s="13"/>
      <c r="H32" s="13"/>
    </row>
    <row r="33" spans="1:8" ht="30" customHeight="1" x14ac:dyDescent="0.2">
      <c r="A33" s="14" t="s">
        <v>206</v>
      </c>
      <c r="B33" s="14" t="s">
        <v>207</v>
      </c>
      <c r="C33" s="15" t="s">
        <v>208</v>
      </c>
      <c r="D33" s="16" t="s">
        <v>209</v>
      </c>
      <c r="E33" s="23">
        <v>3</v>
      </c>
      <c r="F33" s="18" t="s">
        <v>514</v>
      </c>
      <c r="G33" s="16"/>
      <c r="H33" s="16"/>
    </row>
    <row r="34" spans="1:8" ht="18" customHeight="1" x14ac:dyDescent="0.2">
      <c r="A34" s="13" t="s">
        <v>210</v>
      </c>
      <c r="B34" s="13" t="s">
        <v>211</v>
      </c>
      <c r="C34" s="13"/>
      <c r="D34" s="13"/>
      <c r="E34" s="13"/>
      <c r="F34" s="13"/>
      <c r="G34" s="13"/>
      <c r="H34" s="13"/>
    </row>
    <row r="35" spans="1:8" ht="30" customHeight="1" x14ac:dyDescent="0.2">
      <c r="A35" s="14" t="s">
        <v>210</v>
      </c>
      <c r="B35" s="14" t="s">
        <v>211</v>
      </c>
      <c r="C35" s="15" t="s">
        <v>212</v>
      </c>
      <c r="D35" s="16" t="s">
        <v>213</v>
      </c>
      <c r="E35" s="17">
        <v>2</v>
      </c>
      <c r="F35" s="18" t="s">
        <v>514</v>
      </c>
      <c r="G35" s="16"/>
      <c r="H35" s="16"/>
    </row>
    <row r="36" spans="1:8" ht="30" customHeight="1" x14ac:dyDescent="0.2">
      <c r="A36" s="19" t="s">
        <v>210</v>
      </c>
      <c r="B36" s="19" t="s">
        <v>211</v>
      </c>
      <c r="C36" s="20" t="s">
        <v>214</v>
      </c>
      <c r="D36" s="21" t="s">
        <v>215</v>
      </c>
      <c r="E36" s="17">
        <v>2</v>
      </c>
      <c r="F36" s="18" t="s">
        <v>514</v>
      </c>
      <c r="G36" s="21"/>
      <c r="H36" s="21"/>
    </row>
    <row r="37" spans="1:8" ht="30" customHeight="1" x14ac:dyDescent="0.2">
      <c r="A37" s="14" t="s">
        <v>210</v>
      </c>
      <c r="B37" s="14" t="s">
        <v>211</v>
      </c>
      <c r="C37" s="15" t="s">
        <v>216</v>
      </c>
      <c r="D37" s="16" t="s">
        <v>217</v>
      </c>
      <c r="E37" s="23">
        <v>3</v>
      </c>
      <c r="F37" s="18" t="s">
        <v>514</v>
      </c>
      <c r="G37" s="16"/>
      <c r="H37" s="16"/>
    </row>
    <row r="38" spans="1:8" ht="30" customHeight="1" x14ac:dyDescent="0.2">
      <c r="A38" s="19" t="s">
        <v>210</v>
      </c>
      <c r="B38" s="19" t="s">
        <v>211</v>
      </c>
      <c r="C38" s="20" t="s">
        <v>218</v>
      </c>
      <c r="D38" s="21" t="s">
        <v>219</v>
      </c>
      <c r="E38" s="23">
        <v>3</v>
      </c>
      <c r="F38" s="18" t="s">
        <v>514</v>
      </c>
      <c r="G38" s="21"/>
      <c r="H38" s="21"/>
    </row>
    <row r="39" spans="1:8" ht="30" customHeight="1" x14ac:dyDescent="0.2">
      <c r="A39" s="14" t="s">
        <v>210</v>
      </c>
      <c r="B39" s="14" t="s">
        <v>211</v>
      </c>
      <c r="C39" s="15" t="s">
        <v>220</v>
      </c>
      <c r="D39" s="16" t="s">
        <v>221</v>
      </c>
      <c r="E39" s="23">
        <v>3</v>
      </c>
      <c r="F39" s="18" t="s">
        <v>514</v>
      </c>
      <c r="G39" s="16"/>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222</v>
      </c>
      <c r="B2" s="13" t="s">
        <v>223</v>
      </c>
      <c r="C2" s="13"/>
      <c r="D2" s="13"/>
      <c r="E2" s="13"/>
      <c r="F2" s="13"/>
      <c r="G2" s="13"/>
      <c r="H2" s="13"/>
    </row>
    <row r="3" spans="1:8" ht="30" customHeight="1" x14ac:dyDescent="0.2">
      <c r="A3" s="14" t="s">
        <v>222</v>
      </c>
      <c r="B3" s="14" t="s">
        <v>223</v>
      </c>
      <c r="C3" s="15" t="s">
        <v>224</v>
      </c>
      <c r="D3" s="16" t="s">
        <v>225</v>
      </c>
      <c r="E3" s="22">
        <v>1</v>
      </c>
      <c r="F3" s="18" t="s">
        <v>45</v>
      </c>
      <c r="G3" s="16" t="s">
        <v>1039</v>
      </c>
      <c r="H3" s="16"/>
    </row>
    <row r="4" spans="1:8" ht="30" customHeight="1" x14ac:dyDescent="0.2">
      <c r="A4" s="19" t="s">
        <v>222</v>
      </c>
      <c r="B4" s="19" t="s">
        <v>223</v>
      </c>
      <c r="C4" s="20" t="s">
        <v>226</v>
      </c>
      <c r="D4" s="21" t="s">
        <v>227</v>
      </c>
      <c r="E4" s="17">
        <v>2</v>
      </c>
      <c r="F4" s="18" t="s">
        <v>514</v>
      </c>
      <c r="G4" s="21"/>
      <c r="H4" s="21"/>
    </row>
    <row r="5" spans="1:8" ht="30" customHeight="1" x14ac:dyDescent="0.2">
      <c r="A5" s="14" t="s">
        <v>222</v>
      </c>
      <c r="B5" s="14" t="s">
        <v>223</v>
      </c>
      <c r="C5" s="15" t="s">
        <v>228</v>
      </c>
      <c r="D5" s="16" t="s">
        <v>229</v>
      </c>
      <c r="E5" s="17">
        <v>2</v>
      </c>
      <c r="F5" s="18" t="s">
        <v>45</v>
      </c>
      <c r="G5" s="16" t="s">
        <v>1047</v>
      </c>
      <c r="H5" s="16"/>
    </row>
    <row r="6" spans="1:8" ht="30" customHeight="1" x14ac:dyDescent="0.2">
      <c r="A6" s="19" t="s">
        <v>222</v>
      </c>
      <c r="B6" s="19" t="s">
        <v>223</v>
      </c>
      <c r="C6" s="20" t="s">
        <v>230</v>
      </c>
      <c r="D6" s="21" t="s">
        <v>231</v>
      </c>
      <c r="E6" s="23">
        <v>3</v>
      </c>
      <c r="F6" s="18" t="s">
        <v>45</v>
      </c>
      <c r="G6" s="21" t="s">
        <v>1045</v>
      </c>
      <c r="H6" s="21"/>
    </row>
    <row r="7" spans="1:8" ht="30" customHeight="1" x14ac:dyDescent="0.2">
      <c r="A7" s="14" t="s">
        <v>222</v>
      </c>
      <c r="B7" s="14" t="s">
        <v>223</v>
      </c>
      <c r="C7" s="15" t="s">
        <v>232</v>
      </c>
      <c r="D7" s="16" t="s">
        <v>233</v>
      </c>
      <c r="E7" s="23">
        <v>3</v>
      </c>
      <c r="F7" s="18" t="s">
        <v>45</v>
      </c>
      <c r="G7" s="16" t="s">
        <v>1046</v>
      </c>
      <c r="H7" s="16"/>
    </row>
    <row r="8" spans="1:8" ht="18" customHeight="1" x14ac:dyDescent="0.2">
      <c r="A8" s="13" t="s">
        <v>234</v>
      </c>
      <c r="B8" s="13" t="s">
        <v>235</v>
      </c>
      <c r="C8" s="13"/>
      <c r="D8" s="13"/>
      <c r="E8" s="13"/>
      <c r="F8" s="13"/>
      <c r="G8" s="13"/>
      <c r="H8" s="13"/>
    </row>
    <row r="9" spans="1:8" ht="30" customHeight="1" x14ac:dyDescent="0.2">
      <c r="A9" s="14" t="s">
        <v>234</v>
      </c>
      <c r="B9" s="14" t="s">
        <v>235</v>
      </c>
      <c r="C9" s="15" t="s">
        <v>236</v>
      </c>
      <c r="D9" s="16" t="s">
        <v>237</v>
      </c>
      <c r="E9" s="17">
        <v>2</v>
      </c>
      <c r="F9" s="18" t="s">
        <v>45</v>
      </c>
      <c r="G9" s="16" t="s">
        <v>1040</v>
      </c>
      <c r="H9" s="16"/>
    </row>
    <row r="10" spans="1:8" ht="30" customHeight="1" x14ac:dyDescent="0.2">
      <c r="A10" s="19" t="s">
        <v>234</v>
      </c>
      <c r="B10" s="19" t="s">
        <v>235</v>
      </c>
      <c r="C10" s="20" t="s">
        <v>238</v>
      </c>
      <c r="D10" s="21" t="s">
        <v>239</v>
      </c>
      <c r="E10" s="23">
        <v>3</v>
      </c>
      <c r="F10" s="18" t="s">
        <v>45</v>
      </c>
      <c r="G10" s="21" t="s">
        <v>1042</v>
      </c>
      <c r="H10" s="21"/>
    </row>
    <row r="11" spans="1:8" ht="30" customHeight="1" x14ac:dyDescent="0.2">
      <c r="A11" s="14" t="s">
        <v>234</v>
      </c>
      <c r="B11" s="14" t="s">
        <v>235</v>
      </c>
      <c r="C11" s="15" t="s">
        <v>240</v>
      </c>
      <c r="D11" s="16" t="s">
        <v>241</v>
      </c>
      <c r="E11" s="23">
        <v>3</v>
      </c>
      <c r="F11" s="18" t="s">
        <v>45</v>
      </c>
      <c r="G11" s="16" t="s">
        <v>1041</v>
      </c>
      <c r="H11" s="16"/>
    </row>
    <row r="12" spans="1:8" ht="30" customHeight="1" x14ac:dyDescent="0.2">
      <c r="A12" s="19" t="s">
        <v>234</v>
      </c>
      <c r="B12" s="19" t="s">
        <v>235</v>
      </c>
      <c r="C12" s="20" t="s">
        <v>242</v>
      </c>
      <c r="D12" s="21" t="s">
        <v>243</v>
      </c>
      <c r="E12" s="23">
        <v>3</v>
      </c>
      <c r="F12" s="18" t="s">
        <v>45</v>
      </c>
      <c r="G12" s="21" t="s">
        <v>1043</v>
      </c>
      <c r="H12" s="21"/>
    </row>
    <row r="13" spans="1:8" ht="30" customHeight="1" x14ac:dyDescent="0.2">
      <c r="A13" s="14" t="s">
        <v>234</v>
      </c>
      <c r="B13" s="14" t="s">
        <v>235</v>
      </c>
      <c r="C13" s="15" t="s">
        <v>244</v>
      </c>
      <c r="D13" s="16" t="s">
        <v>245</v>
      </c>
      <c r="E13" s="23">
        <v>3</v>
      </c>
      <c r="F13" s="18" t="s">
        <v>45</v>
      </c>
      <c r="G13" s="28" t="s">
        <v>1044</v>
      </c>
      <c r="H13" s="16"/>
    </row>
    <row r="14" spans="1:8" ht="18" customHeight="1" x14ac:dyDescent="0.2">
      <c r="A14" s="13" t="s">
        <v>246</v>
      </c>
      <c r="B14" s="13" t="s">
        <v>247</v>
      </c>
      <c r="C14" s="13"/>
      <c r="D14" s="13"/>
      <c r="E14" s="13"/>
      <c r="F14" s="13"/>
      <c r="G14" s="13"/>
      <c r="H14" s="13"/>
    </row>
    <row r="15" spans="1:8" ht="30" customHeight="1" x14ac:dyDescent="0.2">
      <c r="A15" s="14" t="s">
        <v>246</v>
      </c>
      <c r="B15" s="14" t="s">
        <v>247</v>
      </c>
      <c r="C15" s="15" t="s">
        <v>248</v>
      </c>
      <c r="D15" s="16" t="s">
        <v>249</v>
      </c>
      <c r="E15" s="17">
        <v>2</v>
      </c>
      <c r="F15" s="18" t="s">
        <v>514</v>
      </c>
      <c r="G15" s="16"/>
      <c r="H15" s="16"/>
    </row>
    <row r="16" spans="1:8" ht="30" customHeight="1" x14ac:dyDescent="0.2">
      <c r="A16" s="19" t="s">
        <v>246</v>
      </c>
      <c r="B16" s="19" t="s">
        <v>247</v>
      </c>
      <c r="C16" s="20" t="s">
        <v>250</v>
      </c>
      <c r="D16" s="21" t="s">
        <v>251</v>
      </c>
      <c r="E16" s="17">
        <v>2</v>
      </c>
      <c r="F16" s="18" t="s">
        <v>514</v>
      </c>
      <c r="G16" s="21"/>
      <c r="H16" s="21"/>
    </row>
    <row r="17" spans="1:8" ht="18" customHeight="1" x14ac:dyDescent="0.2">
      <c r="A17" s="13" t="s">
        <v>252</v>
      </c>
      <c r="B17" s="13" t="s">
        <v>253</v>
      </c>
      <c r="C17" s="13"/>
      <c r="D17" s="13"/>
      <c r="E17" s="13"/>
      <c r="F17" s="13"/>
      <c r="G17" s="13"/>
      <c r="H17" s="13"/>
    </row>
    <row r="18" spans="1:8" ht="30" customHeight="1" x14ac:dyDescent="0.2">
      <c r="A18" s="14" t="s">
        <v>252</v>
      </c>
      <c r="B18" s="14" t="s">
        <v>253</v>
      </c>
      <c r="C18" s="15" t="s">
        <v>254</v>
      </c>
      <c r="D18" s="16" t="s">
        <v>255</v>
      </c>
      <c r="E18" s="22">
        <v>1</v>
      </c>
      <c r="F18" s="18" t="s">
        <v>514</v>
      </c>
      <c r="G18" s="16"/>
      <c r="H18" s="16"/>
    </row>
    <row r="19" spans="1:8" ht="30" customHeight="1" x14ac:dyDescent="0.2">
      <c r="A19" s="19" t="s">
        <v>252</v>
      </c>
      <c r="B19" s="19" t="s">
        <v>253</v>
      </c>
      <c r="C19" s="20" t="s">
        <v>256</v>
      </c>
      <c r="D19" s="21" t="s">
        <v>257</v>
      </c>
      <c r="E19" s="17">
        <v>2</v>
      </c>
      <c r="F19" s="18" t="s">
        <v>514</v>
      </c>
      <c r="G19" s="21"/>
      <c r="H19" s="21"/>
    </row>
    <row r="20" spans="1:8" ht="30" customHeight="1" x14ac:dyDescent="0.2">
      <c r="A20" s="14" t="s">
        <v>252</v>
      </c>
      <c r="B20" s="14" t="s">
        <v>253</v>
      </c>
      <c r="C20" s="15" t="s">
        <v>258</v>
      </c>
      <c r="D20" s="16" t="s">
        <v>259</v>
      </c>
      <c r="E20" s="17">
        <v>2</v>
      </c>
      <c r="F20" s="18" t="s">
        <v>514</v>
      </c>
      <c r="G20" s="16"/>
      <c r="H20" s="16"/>
    </row>
    <row r="21" spans="1:8" ht="30" customHeight="1" x14ac:dyDescent="0.2">
      <c r="A21" s="19" t="s">
        <v>252</v>
      </c>
      <c r="B21" s="19" t="s">
        <v>253</v>
      </c>
      <c r="C21" s="20" t="s">
        <v>260</v>
      </c>
      <c r="D21" s="21" t="s">
        <v>261</v>
      </c>
      <c r="E21" s="17">
        <v>2</v>
      </c>
      <c r="F21" s="18" t="s">
        <v>514</v>
      </c>
      <c r="G21" s="21"/>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262</v>
      </c>
      <c r="B2" s="13" t="s">
        <v>263</v>
      </c>
      <c r="C2" s="13"/>
      <c r="D2" s="13"/>
      <c r="E2" s="13"/>
      <c r="F2" s="13"/>
      <c r="G2" s="13"/>
      <c r="H2" s="13"/>
    </row>
    <row r="3" spans="1:8" ht="30" customHeight="1" x14ac:dyDescent="0.2">
      <c r="A3" s="14" t="s">
        <v>262</v>
      </c>
      <c r="B3" s="14" t="s">
        <v>263</v>
      </c>
      <c r="C3" s="15" t="s">
        <v>264</v>
      </c>
      <c r="D3" s="16" t="s">
        <v>265</v>
      </c>
      <c r="E3" s="17">
        <v>2</v>
      </c>
      <c r="F3" s="18" t="s">
        <v>45</v>
      </c>
      <c r="G3" s="16" t="s">
        <v>895</v>
      </c>
      <c r="H3" s="16"/>
    </row>
    <row r="4" spans="1:8" ht="18" customHeight="1" x14ac:dyDescent="0.2">
      <c r="A4" s="13" t="s">
        <v>266</v>
      </c>
      <c r="B4" s="13" t="s">
        <v>267</v>
      </c>
      <c r="C4" s="13"/>
      <c r="D4" s="13"/>
      <c r="E4" s="13"/>
      <c r="F4" s="13"/>
      <c r="G4" s="13"/>
      <c r="H4" s="13"/>
    </row>
    <row r="5" spans="1:8" ht="30" customHeight="1" x14ac:dyDescent="0.2">
      <c r="A5" s="14" t="s">
        <v>266</v>
      </c>
      <c r="B5" s="14" t="s">
        <v>267</v>
      </c>
      <c r="C5" s="15" t="s">
        <v>268</v>
      </c>
      <c r="D5" s="16" t="s">
        <v>269</v>
      </c>
      <c r="E5" s="22">
        <v>1</v>
      </c>
      <c r="F5" s="18" t="s">
        <v>45</v>
      </c>
      <c r="G5" s="16" t="s">
        <v>897</v>
      </c>
      <c r="H5" s="16"/>
    </row>
    <row r="6" spans="1:8" ht="30" customHeight="1" x14ac:dyDescent="0.2">
      <c r="A6" s="19" t="s">
        <v>266</v>
      </c>
      <c r="B6" s="19" t="s">
        <v>267</v>
      </c>
      <c r="C6" s="20" t="s">
        <v>270</v>
      </c>
      <c r="D6" s="21" t="s">
        <v>271</v>
      </c>
      <c r="E6" s="22">
        <v>1</v>
      </c>
      <c r="F6" s="18" t="s">
        <v>45</v>
      </c>
      <c r="G6" t="s">
        <v>898</v>
      </c>
      <c r="H6" s="21"/>
    </row>
    <row r="7" spans="1:8" ht="30" customHeight="1" x14ac:dyDescent="0.2">
      <c r="A7" s="14" t="s">
        <v>266</v>
      </c>
      <c r="B7" s="14" t="s">
        <v>267</v>
      </c>
      <c r="C7" s="15" t="s">
        <v>272</v>
      </c>
      <c r="D7" s="16" t="s">
        <v>273</v>
      </c>
      <c r="E7" s="17">
        <v>2</v>
      </c>
      <c r="F7" s="18" t="s">
        <v>45</v>
      </c>
      <c r="G7" t="s">
        <v>900</v>
      </c>
      <c r="H7" s="16"/>
    </row>
    <row r="8" spans="1:8" ht="30" customHeight="1" x14ac:dyDescent="0.2">
      <c r="A8" s="19" t="s">
        <v>266</v>
      </c>
      <c r="B8" s="19" t="s">
        <v>267</v>
      </c>
      <c r="C8" s="20" t="s">
        <v>274</v>
      </c>
      <c r="D8" s="21" t="s">
        <v>275</v>
      </c>
      <c r="E8" s="23">
        <v>3</v>
      </c>
      <c r="F8" s="18" t="s">
        <v>45</v>
      </c>
      <c r="G8" s="21" t="s">
        <v>902</v>
      </c>
      <c r="H8" s="21"/>
    </row>
    <row r="9" spans="1:8" ht="30" customHeight="1" x14ac:dyDescent="0.2">
      <c r="A9" s="14" t="s">
        <v>266</v>
      </c>
      <c r="B9" s="14" t="s">
        <v>267</v>
      </c>
      <c r="C9" s="15" t="s">
        <v>276</v>
      </c>
      <c r="D9" s="16" t="s">
        <v>277</v>
      </c>
      <c r="E9" s="23">
        <v>3</v>
      </c>
      <c r="F9" s="18" t="s">
        <v>45</v>
      </c>
      <c r="G9" t="s">
        <v>904</v>
      </c>
      <c r="H9" s="16"/>
    </row>
    <row r="10" spans="1:8" ht="30" customHeight="1" x14ac:dyDescent="0.2">
      <c r="A10" s="19" t="s">
        <v>266</v>
      </c>
      <c r="B10" s="19" t="s">
        <v>267</v>
      </c>
      <c r="C10" s="20" t="s">
        <v>278</v>
      </c>
      <c r="D10" s="21" t="s">
        <v>279</v>
      </c>
      <c r="E10" s="23">
        <v>3</v>
      </c>
      <c r="F10" s="18" t="s">
        <v>514</v>
      </c>
      <c r="H10" s="21"/>
    </row>
    <row r="11" spans="1:8" ht="18" customHeight="1" x14ac:dyDescent="0.2">
      <c r="A11" s="13" t="s">
        <v>280</v>
      </c>
      <c r="B11" s="13" t="s">
        <v>281</v>
      </c>
      <c r="C11" s="13"/>
      <c r="D11" s="13"/>
      <c r="E11" s="13"/>
      <c r="F11" s="13"/>
      <c r="G11" s="13"/>
      <c r="H11" s="13"/>
    </row>
    <row r="12" spans="1:8" ht="30" customHeight="1" x14ac:dyDescent="0.2">
      <c r="A12" s="14" t="s">
        <v>280</v>
      </c>
      <c r="B12" s="14" t="s">
        <v>281</v>
      </c>
      <c r="C12" s="15" t="s">
        <v>282</v>
      </c>
      <c r="D12" s="16" t="s">
        <v>283</v>
      </c>
      <c r="E12" s="22">
        <v>1</v>
      </c>
      <c r="F12" s="18" t="s">
        <v>45</v>
      </c>
      <c r="G12" t="s">
        <v>908</v>
      </c>
      <c r="H12" s="16"/>
    </row>
    <row r="13" spans="1:8" ht="30" customHeight="1" x14ac:dyDescent="0.2">
      <c r="A13" s="19" t="s">
        <v>280</v>
      </c>
      <c r="B13" s="19" t="s">
        <v>281</v>
      </c>
      <c r="C13" s="20" t="s">
        <v>284</v>
      </c>
      <c r="D13" s="21" t="s">
        <v>285</v>
      </c>
      <c r="E13" s="22">
        <v>1</v>
      </c>
      <c r="F13" s="18" t="s">
        <v>45</v>
      </c>
      <c r="G13" t="s">
        <v>909</v>
      </c>
      <c r="H13" s="21"/>
    </row>
    <row r="14" spans="1:8" ht="30" customHeight="1" x14ac:dyDescent="0.2">
      <c r="A14" s="14" t="s">
        <v>280</v>
      </c>
      <c r="B14" s="14" t="s">
        <v>281</v>
      </c>
      <c r="C14" s="15" t="s">
        <v>286</v>
      </c>
      <c r="D14" s="16" t="s">
        <v>287</v>
      </c>
      <c r="E14" s="23">
        <v>3</v>
      </c>
      <c r="F14" s="18" t="s">
        <v>45</v>
      </c>
      <c r="G14" t="s">
        <v>911</v>
      </c>
      <c r="H14" s="16"/>
    </row>
    <row r="15" spans="1:8" ht="18" customHeight="1" x14ac:dyDescent="0.2">
      <c r="A15" s="13" t="s">
        <v>288</v>
      </c>
      <c r="B15" s="13" t="s">
        <v>289</v>
      </c>
      <c r="C15" s="13"/>
      <c r="D15" s="13"/>
      <c r="E15" s="13"/>
      <c r="F15" s="13"/>
      <c r="G15" s="13"/>
      <c r="H15" s="13"/>
    </row>
    <row r="16" spans="1:8" ht="30" customHeight="1" x14ac:dyDescent="0.2">
      <c r="A16" s="14" t="s">
        <v>288</v>
      </c>
      <c r="B16" s="14" t="s">
        <v>289</v>
      </c>
      <c r="C16" s="15" t="s">
        <v>290</v>
      </c>
      <c r="D16" s="16" t="s">
        <v>291</v>
      </c>
      <c r="E16" s="17">
        <v>2</v>
      </c>
      <c r="F16" s="18" t="s">
        <v>45</v>
      </c>
      <c r="G16" t="s">
        <v>912</v>
      </c>
      <c r="H16" s="16"/>
    </row>
    <row r="17" spans="1:8" ht="30" customHeight="1" x14ac:dyDescent="0.2">
      <c r="A17" s="19" t="s">
        <v>288</v>
      </c>
      <c r="B17" s="19" t="s">
        <v>289</v>
      </c>
      <c r="C17" s="20" t="s">
        <v>292</v>
      </c>
      <c r="D17" s="21" t="s">
        <v>293</v>
      </c>
      <c r="E17" s="17">
        <v>2</v>
      </c>
      <c r="F17" s="18" t="s">
        <v>45</v>
      </c>
      <c r="G17" t="s">
        <v>913</v>
      </c>
      <c r="H17" s="21"/>
    </row>
    <row r="18" spans="1:8" ht="30" customHeight="1" x14ac:dyDescent="0.2">
      <c r="A18" s="14" t="s">
        <v>288</v>
      </c>
      <c r="B18" s="14" t="s">
        <v>289</v>
      </c>
      <c r="C18" s="15" t="s">
        <v>294</v>
      </c>
      <c r="D18" s="16" t="s">
        <v>295</v>
      </c>
      <c r="E18" s="17">
        <v>2</v>
      </c>
      <c r="F18" s="18" t="s">
        <v>45</v>
      </c>
      <c r="G18" t="s">
        <v>915</v>
      </c>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36" activePane="bottomLeft" state="frozen"/>
      <selection pane="bottomLeft" activeCell="F56" sqref="F56"/>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296</v>
      </c>
      <c r="B2" s="13" t="s">
        <v>297</v>
      </c>
      <c r="C2" s="13"/>
      <c r="D2" s="13"/>
      <c r="E2" s="13"/>
      <c r="F2" s="13"/>
      <c r="G2" s="13"/>
      <c r="H2" s="13"/>
    </row>
    <row r="3" spans="1:8" ht="30" customHeight="1" x14ac:dyDescent="0.2">
      <c r="A3" s="14" t="s">
        <v>296</v>
      </c>
      <c r="B3" s="14" t="s">
        <v>297</v>
      </c>
      <c r="C3" s="15" t="s">
        <v>298</v>
      </c>
      <c r="D3" s="16" t="s">
        <v>299</v>
      </c>
      <c r="E3" s="22">
        <v>1</v>
      </c>
      <c r="F3" s="18" t="s">
        <v>45</v>
      </c>
      <c r="G3" t="s">
        <v>1048</v>
      </c>
      <c r="H3" s="16"/>
    </row>
    <row r="4" spans="1:8" ht="30" customHeight="1" x14ac:dyDescent="0.2">
      <c r="A4" s="19" t="s">
        <v>296</v>
      </c>
      <c r="B4" s="19" t="s">
        <v>297</v>
      </c>
      <c r="C4" s="20" t="s">
        <v>300</v>
      </c>
      <c r="D4" s="21" t="s">
        <v>301</v>
      </c>
      <c r="E4" s="17">
        <v>2</v>
      </c>
      <c r="F4" s="18" t="s">
        <v>45</v>
      </c>
      <c r="G4" t="s">
        <v>1049</v>
      </c>
      <c r="H4" s="21"/>
    </row>
    <row r="5" spans="1:8" ht="30" customHeight="1" x14ac:dyDescent="0.2">
      <c r="A5" s="14" t="s">
        <v>296</v>
      </c>
      <c r="B5" s="14" t="s">
        <v>297</v>
      </c>
      <c r="C5" s="15" t="s">
        <v>302</v>
      </c>
      <c r="D5" s="16" t="s">
        <v>303</v>
      </c>
      <c r="E5" s="17">
        <v>2</v>
      </c>
      <c r="F5" s="18" t="s">
        <v>45</v>
      </c>
      <c r="G5" t="s">
        <v>1050</v>
      </c>
      <c r="H5" s="16"/>
    </row>
    <row r="6" spans="1:8" ht="18" customHeight="1" x14ac:dyDescent="0.2">
      <c r="A6" s="13" t="s">
        <v>304</v>
      </c>
      <c r="B6" s="13" t="s">
        <v>305</v>
      </c>
      <c r="C6" s="13"/>
      <c r="D6" s="13"/>
      <c r="E6" s="13"/>
      <c r="F6" s="13"/>
      <c r="G6" s="13"/>
      <c r="H6" s="13"/>
    </row>
    <row r="7" spans="1:8" ht="30" customHeight="1" x14ac:dyDescent="0.2">
      <c r="A7" s="14" t="s">
        <v>304</v>
      </c>
      <c r="B7" s="14" t="s">
        <v>305</v>
      </c>
      <c r="C7" s="15" t="s">
        <v>306</v>
      </c>
      <c r="D7" s="16" t="s">
        <v>307</v>
      </c>
      <c r="E7" s="22">
        <v>1</v>
      </c>
      <c r="F7" s="18" t="s">
        <v>45</v>
      </c>
      <c r="G7" t="s">
        <v>1051</v>
      </c>
      <c r="H7" s="16"/>
    </row>
    <row r="8" spans="1:8" ht="30" customHeight="1" x14ac:dyDescent="0.2">
      <c r="A8" s="19" t="s">
        <v>304</v>
      </c>
      <c r="B8" s="19" t="s">
        <v>305</v>
      </c>
      <c r="C8" s="20" t="s">
        <v>308</v>
      </c>
      <c r="D8" s="21" t="s">
        <v>309</v>
      </c>
      <c r="E8" s="22">
        <v>1</v>
      </c>
      <c r="F8" s="18" t="s">
        <v>45</v>
      </c>
      <c r="G8" t="s">
        <v>1052</v>
      </c>
      <c r="H8" s="21"/>
    </row>
    <row r="9" spans="1:8" ht="30" customHeight="1" x14ac:dyDescent="0.2">
      <c r="A9" s="14" t="s">
        <v>304</v>
      </c>
      <c r="B9" s="14" t="s">
        <v>305</v>
      </c>
      <c r="C9" s="15" t="s">
        <v>310</v>
      </c>
      <c r="D9" s="16" t="s">
        <v>311</v>
      </c>
      <c r="E9" s="22">
        <v>1</v>
      </c>
      <c r="F9" s="18" t="s">
        <v>45</v>
      </c>
      <c r="G9" t="s">
        <v>1053</v>
      </c>
      <c r="H9" s="16"/>
    </row>
    <row r="10" spans="1:8" ht="30" customHeight="1" x14ac:dyDescent="0.2">
      <c r="A10" s="19" t="s">
        <v>304</v>
      </c>
      <c r="B10" s="19" t="s">
        <v>305</v>
      </c>
      <c r="C10" s="20" t="s">
        <v>312</v>
      </c>
      <c r="D10" s="21" t="s">
        <v>313</v>
      </c>
      <c r="E10" s="22">
        <v>1</v>
      </c>
      <c r="F10" s="18" t="s">
        <v>514</v>
      </c>
      <c r="G10" s="21"/>
      <c r="H10" s="21"/>
    </row>
    <row r="11" spans="1:8" ht="30" customHeight="1" x14ac:dyDescent="0.2">
      <c r="A11" s="14" t="s">
        <v>304</v>
      </c>
      <c r="B11" s="14" t="s">
        <v>305</v>
      </c>
      <c r="C11" s="15" t="s">
        <v>314</v>
      </c>
      <c r="D11" s="16" t="s">
        <v>315</v>
      </c>
      <c r="E11" s="22">
        <v>1</v>
      </c>
      <c r="F11" s="18" t="s">
        <v>45</v>
      </c>
      <c r="G11" t="s">
        <v>1054</v>
      </c>
      <c r="H11" s="16"/>
    </row>
    <row r="12" spans="1:8" ht="30" customHeight="1" x14ac:dyDescent="0.2">
      <c r="A12" s="19" t="s">
        <v>304</v>
      </c>
      <c r="B12" s="19" t="s">
        <v>305</v>
      </c>
      <c r="C12" s="20" t="s">
        <v>316</v>
      </c>
      <c r="D12" s="21" t="s">
        <v>317</v>
      </c>
      <c r="E12" s="22">
        <v>1</v>
      </c>
      <c r="F12" s="18" t="s">
        <v>45</v>
      </c>
      <c r="G12" t="s">
        <v>1055</v>
      </c>
      <c r="H12" s="21"/>
    </row>
    <row r="13" spans="1:8" ht="30" customHeight="1" x14ac:dyDescent="0.2">
      <c r="A13" s="14" t="s">
        <v>304</v>
      </c>
      <c r="B13" s="14" t="s">
        <v>305</v>
      </c>
      <c r="C13" s="15" t="s">
        <v>318</v>
      </c>
      <c r="D13" s="16" t="s">
        <v>319</v>
      </c>
      <c r="E13" s="22">
        <v>1</v>
      </c>
      <c r="F13" s="18" t="s">
        <v>45</v>
      </c>
      <c r="G13" t="s">
        <v>1056</v>
      </c>
      <c r="H13" s="16"/>
    </row>
    <row r="14" spans="1:8" ht="30" customHeight="1" x14ac:dyDescent="0.2">
      <c r="A14" s="19" t="s">
        <v>304</v>
      </c>
      <c r="B14" s="19" t="s">
        <v>305</v>
      </c>
      <c r="C14" s="20" t="s">
        <v>320</v>
      </c>
      <c r="D14" s="21" t="s">
        <v>321</v>
      </c>
      <c r="E14" s="22">
        <v>1</v>
      </c>
      <c r="F14" s="18" t="s">
        <v>45</v>
      </c>
      <c r="G14" t="s">
        <v>1057</v>
      </c>
      <c r="H14" s="21"/>
    </row>
    <row r="15" spans="1:8" ht="30" customHeight="1" x14ac:dyDescent="0.2">
      <c r="A15" s="14" t="s">
        <v>304</v>
      </c>
      <c r="B15" s="14" t="s">
        <v>305</v>
      </c>
      <c r="C15" s="15" t="s">
        <v>322</v>
      </c>
      <c r="D15" s="16" t="s">
        <v>323</v>
      </c>
      <c r="E15" s="17">
        <v>2</v>
      </c>
      <c r="F15" s="18" t="s">
        <v>45</v>
      </c>
      <c r="G15" t="s">
        <v>1058</v>
      </c>
      <c r="H15" s="16"/>
    </row>
    <row r="16" spans="1:8" ht="30" customHeight="1" x14ac:dyDescent="0.2">
      <c r="A16" s="19" t="s">
        <v>304</v>
      </c>
      <c r="B16" s="19" t="s">
        <v>305</v>
      </c>
      <c r="C16" s="20" t="s">
        <v>324</v>
      </c>
      <c r="D16" s="21" t="s">
        <v>325</v>
      </c>
      <c r="E16" s="17">
        <v>2</v>
      </c>
      <c r="F16" s="18" t="s">
        <v>45</v>
      </c>
      <c r="G16" t="s">
        <v>1059</v>
      </c>
      <c r="H16" s="21"/>
    </row>
    <row r="17" spans="1:8" ht="30" customHeight="1" x14ac:dyDescent="0.2">
      <c r="A17" s="14" t="s">
        <v>304</v>
      </c>
      <c r="B17" s="14" t="s">
        <v>305</v>
      </c>
      <c r="C17" s="15" t="s">
        <v>326</v>
      </c>
      <c r="D17" s="16" t="s">
        <v>327</v>
      </c>
      <c r="E17" s="17">
        <v>2</v>
      </c>
      <c r="F17" s="18" t="s">
        <v>45</v>
      </c>
      <c r="G17" t="s">
        <v>1060</v>
      </c>
      <c r="H17" s="16"/>
    </row>
    <row r="18" spans="1:8" ht="30" customHeight="1" x14ac:dyDescent="0.2">
      <c r="A18" s="19" t="s">
        <v>304</v>
      </c>
      <c r="B18" s="19" t="s">
        <v>305</v>
      </c>
      <c r="C18" s="20" t="s">
        <v>328</v>
      </c>
      <c r="D18" s="21" t="s">
        <v>329</v>
      </c>
      <c r="E18" s="17">
        <v>2</v>
      </c>
      <c r="F18" s="18" t="s">
        <v>514</v>
      </c>
      <c r="G18" s="21"/>
      <c r="H18" s="21"/>
    </row>
    <row r="19" spans="1:8" ht="18" customHeight="1" x14ac:dyDescent="0.2">
      <c r="A19" s="13" t="s">
        <v>330</v>
      </c>
      <c r="B19" s="13" t="s">
        <v>331</v>
      </c>
      <c r="C19" s="13"/>
      <c r="D19" s="13"/>
      <c r="E19" s="13"/>
      <c r="F19" s="13"/>
      <c r="G19" s="13"/>
      <c r="H19" s="13"/>
    </row>
    <row r="20" spans="1:8" ht="30" customHeight="1" x14ac:dyDescent="0.2">
      <c r="A20" s="14" t="s">
        <v>330</v>
      </c>
      <c r="B20" s="14" t="s">
        <v>331</v>
      </c>
      <c r="C20" s="15" t="s">
        <v>332</v>
      </c>
      <c r="D20" s="16" t="s">
        <v>333</v>
      </c>
      <c r="E20" s="22">
        <v>1</v>
      </c>
      <c r="F20" s="18" t="s">
        <v>45</v>
      </c>
      <c r="G20" t="s">
        <v>1061</v>
      </c>
      <c r="H20" s="16"/>
    </row>
    <row r="21" spans="1:8" ht="30" customHeight="1" x14ac:dyDescent="0.2">
      <c r="A21" s="19" t="s">
        <v>330</v>
      </c>
      <c r="B21" s="19" t="s">
        <v>331</v>
      </c>
      <c r="C21" s="20" t="s">
        <v>334</v>
      </c>
      <c r="D21" s="21" t="s">
        <v>335</v>
      </c>
      <c r="E21" s="22">
        <v>1</v>
      </c>
      <c r="F21" s="18" t="s">
        <v>45</v>
      </c>
      <c r="G21" t="s">
        <v>1062</v>
      </c>
      <c r="H21" s="21"/>
    </row>
    <row r="22" spans="1:8" ht="30" customHeight="1" x14ac:dyDescent="0.2">
      <c r="A22" s="14" t="s">
        <v>330</v>
      </c>
      <c r="B22" s="14" t="s">
        <v>331</v>
      </c>
      <c r="C22" s="15" t="s">
        <v>336</v>
      </c>
      <c r="D22" s="16" t="s">
        <v>337</v>
      </c>
      <c r="E22" s="17">
        <v>2</v>
      </c>
      <c r="F22" s="18" t="s">
        <v>45</v>
      </c>
      <c r="G22" t="s">
        <v>1063</v>
      </c>
      <c r="H22" s="16"/>
    </row>
    <row r="23" spans="1:8" ht="30" customHeight="1" x14ac:dyDescent="0.2">
      <c r="A23" s="19" t="s">
        <v>330</v>
      </c>
      <c r="B23" s="19" t="s">
        <v>331</v>
      </c>
      <c r="C23" s="20" t="s">
        <v>338</v>
      </c>
      <c r="D23" s="21" t="s">
        <v>339</v>
      </c>
      <c r="E23" s="17">
        <v>2</v>
      </c>
      <c r="F23" s="18" t="s">
        <v>45</v>
      </c>
      <c r="G23" t="s">
        <v>1064</v>
      </c>
      <c r="H23" s="21"/>
    </row>
    <row r="24" spans="1:8" ht="30" customHeight="1" x14ac:dyDescent="0.2">
      <c r="A24" s="14" t="s">
        <v>330</v>
      </c>
      <c r="B24" s="14" t="s">
        <v>331</v>
      </c>
      <c r="C24" s="15" t="s">
        <v>340</v>
      </c>
      <c r="D24" s="16" t="s">
        <v>341</v>
      </c>
      <c r="E24" s="23">
        <v>3</v>
      </c>
      <c r="F24" s="18" t="s">
        <v>45</v>
      </c>
      <c r="G24" t="s">
        <v>1065</v>
      </c>
      <c r="H24" s="16"/>
    </row>
    <row r="25" spans="1:8" ht="30" customHeight="1" x14ac:dyDescent="0.2">
      <c r="A25" s="19" t="s">
        <v>330</v>
      </c>
      <c r="B25" s="19" t="s">
        <v>331</v>
      </c>
      <c r="C25" s="20" t="s">
        <v>342</v>
      </c>
      <c r="D25" s="21" t="s">
        <v>343</v>
      </c>
      <c r="E25" s="23">
        <v>3</v>
      </c>
      <c r="F25" s="18" t="s">
        <v>514</v>
      </c>
      <c r="G25" s="21"/>
      <c r="H25" s="21"/>
    </row>
    <row r="26" spans="1:8" ht="30" customHeight="1" x14ac:dyDescent="0.2">
      <c r="A26" s="14" t="s">
        <v>330</v>
      </c>
      <c r="B26" s="14" t="s">
        <v>331</v>
      </c>
      <c r="C26" s="15" t="s">
        <v>344</v>
      </c>
      <c r="D26" s="16" t="s">
        <v>345</v>
      </c>
      <c r="E26" s="23">
        <v>3</v>
      </c>
      <c r="F26" s="18" t="s">
        <v>45</v>
      </c>
      <c r="G26" t="s">
        <v>1066</v>
      </c>
      <c r="H26" s="16"/>
    </row>
    <row r="27" spans="1:8" ht="30" customHeight="1" x14ac:dyDescent="0.2">
      <c r="A27" s="19" t="s">
        <v>330</v>
      </c>
      <c r="B27" s="19" t="s">
        <v>331</v>
      </c>
      <c r="C27" s="20" t="s">
        <v>346</v>
      </c>
      <c r="D27" s="21" t="s">
        <v>347</v>
      </c>
      <c r="E27" s="23">
        <v>3</v>
      </c>
      <c r="F27" s="18" t="s">
        <v>45</v>
      </c>
      <c r="G27" t="s">
        <v>1067</v>
      </c>
      <c r="H27" s="21"/>
    </row>
    <row r="28" spans="1:8" ht="18" customHeight="1" x14ac:dyDescent="0.2">
      <c r="A28" s="13" t="s">
        <v>348</v>
      </c>
      <c r="B28" s="13" t="s">
        <v>349</v>
      </c>
      <c r="C28" s="13"/>
      <c r="D28" s="13"/>
      <c r="E28" s="13"/>
      <c r="F28" s="13"/>
      <c r="G28" s="13"/>
      <c r="H28" s="13"/>
    </row>
    <row r="29" spans="1:8" ht="30" customHeight="1" x14ac:dyDescent="0.2">
      <c r="A29" s="14" t="s">
        <v>348</v>
      </c>
      <c r="B29" s="14" t="s">
        <v>349</v>
      </c>
      <c r="C29" s="15" t="s">
        <v>350</v>
      </c>
      <c r="D29" s="16" t="s">
        <v>351</v>
      </c>
      <c r="E29" s="22">
        <v>1</v>
      </c>
      <c r="F29" s="18" t="s">
        <v>45</v>
      </c>
      <c r="G29" s="16" t="s">
        <v>351</v>
      </c>
      <c r="H29" s="16"/>
    </row>
    <row r="30" spans="1:8" ht="30" customHeight="1" x14ac:dyDescent="0.2">
      <c r="A30" s="19" t="s">
        <v>348</v>
      </c>
      <c r="B30" s="19" t="s">
        <v>349</v>
      </c>
      <c r="C30" s="20" t="s">
        <v>352</v>
      </c>
      <c r="D30" s="21" t="s">
        <v>353</v>
      </c>
      <c r="E30" s="22">
        <v>1</v>
      </c>
      <c r="F30" s="18" t="s">
        <v>45</v>
      </c>
      <c r="G30" t="s">
        <v>1068</v>
      </c>
      <c r="H30" s="21"/>
    </row>
    <row r="31" spans="1:8" ht="30" customHeight="1" x14ac:dyDescent="0.2">
      <c r="A31" s="14" t="s">
        <v>348</v>
      </c>
      <c r="B31" s="14" t="s">
        <v>349</v>
      </c>
      <c r="C31" s="15" t="s">
        <v>354</v>
      </c>
      <c r="D31" s="16" t="s">
        <v>355</v>
      </c>
      <c r="E31" s="17">
        <v>2</v>
      </c>
      <c r="F31" s="18" t="s">
        <v>45</v>
      </c>
      <c r="G31" t="s">
        <v>1069</v>
      </c>
      <c r="H31" s="16"/>
    </row>
    <row r="32" spans="1:8" ht="30" customHeight="1" x14ac:dyDescent="0.2">
      <c r="A32" s="19" t="s">
        <v>348</v>
      </c>
      <c r="B32" s="19" t="s">
        <v>349</v>
      </c>
      <c r="C32" s="20" t="s">
        <v>356</v>
      </c>
      <c r="D32" s="21" t="s">
        <v>357</v>
      </c>
      <c r="E32" s="17">
        <v>2</v>
      </c>
      <c r="F32" s="18" t="s">
        <v>514</v>
      </c>
      <c r="G32" s="21"/>
      <c r="H32" s="21"/>
    </row>
    <row r="33" spans="1:8" ht="30" customHeight="1" x14ac:dyDescent="0.2">
      <c r="A33" s="14" t="s">
        <v>348</v>
      </c>
      <c r="B33" s="14" t="s">
        <v>349</v>
      </c>
      <c r="C33" s="15" t="s">
        <v>358</v>
      </c>
      <c r="D33" s="16" t="s">
        <v>359</v>
      </c>
      <c r="E33" s="23">
        <v>3</v>
      </c>
      <c r="F33" s="18" t="s">
        <v>45</v>
      </c>
      <c r="G33" t="s">
        <v>1070</v>
      </c>
      <c r="H33" s="16"/>
    </row>
    <row r="34" spans="1:8" ht="30" customHeight="1" x14ac:dyDescent="0.2">
      <c r="A34" s="19" t="s">
        <v>348</v>
      </c>
      <c r="B34" s="19" t="s">
        <v>349</v>
      </c>
      <c r="C34" s="20" t="s">
        <v>360</v>
      </c>
      <c r="D34" s="21" t="s">
        <v>361</v>
      </c>
      <c r="E34" s="23">
        <v>3</v>
      </c>
      <c r="F34" s="18" t="s">
        <v>45</v>
      </c>
      <c r="G34" t="s">
        <v>1071</v>
      </c>
      <c r="H34" s="21"/>
    </row>
    <row r="35" spans="1:8" ht="18" customHeight="1" x14ac:dyDescent="0.2">
      <c r="A35" s="13" t="s">
        <v>362</v>
      </c>
      <c r="B35" s="13" t="s">
        <v>363</v>
      </c>
      <c r="C35" s="13"/>
      <c r="D35" s="13"/>
      <c r="E35" s="13"/>
      <c r="F35" s="13"/>
      <c r="G35" s="13"/>
      <c r="H35" s="13"/>
    </row>
    <row r="36" spans="1:8" ht="30" customHeight="1" x14ac:dyDescent="0.2">
      <c r="A36" s="14" t="s">
        <v>362</v>
      </c>
      <c r="B36" s="14" t="s">
        <v>363</v>
      </c>
      <c r="C36" s="15" t="s">
        <v>364</v>
      </c>
      <c r="D36" s="16" t="s">
        <v>365</v>
      </c>
      <c r="E36" s="17">
        <v>2</v>
      </c>
      <c r="F36" s="18" t="s">
        <v>45</v>
      </c>
      <c r="G36" t="s">
        <v>1072</v>
      </c>
      <c r="H36" s="16"/>
    </row>
    <row r="37" spans="1:8" ht="30" customHeight="1" x14ac:dyDescent="0.2">
      <c r="A37" s="19" t="s">
        <v>362</v>
      </c>
      <c r="B37" s="19" t="s">
        <v>363</v>
      </c>
      <c r="C37" s="20" t="s">
        <v>366</v>
      </c>
      <c r="D37" s="21" t="s">
        <v>367</v>
      </c>
      <c r="E37" s="17">
        <v>2</v>
      </c>
      <c r="F37" s="18" t="s">
        <v>45</v>
      </c>
      <c r="G37" t="s">
        <v>1073</v>
      </c>
      <c r="H37" s="21"/>
    </row>
    <row r="38" spans="1:8" ht="30" customHeight="1" x14ac:dyDescent="0.2">
      <c r="A38" s="14" t="s">
        <v>362</v>
      </c>
      <c r="B38" s="14" t="s">
        <v>363</v>
      </c>
      <c r="C38" s="15" t="s">
        <v>368</v>
      </c>
      <c r="D38" s="16" t="s">
        <v>369</v>
      </c>
      <c r="E38" s="17">
        <v>2</v>
      </c>
      <c r="F38" s="18" t="s">
        <v>514</v>
      </c>
      <c r="H38" s="16"/>
    </row>
    <row r="39" spans="1:8" ht="30" customHeight="1" x14ac:dyDescent="0.2">
      <c r="A39" s="19" t="s">
        <v>362</v>
      </c>
      <c r="B39" s="19" t="s">
        <v>363</v>
      </c>
      <c r="C39" s="20" t="s">
        <v>370</v>
      </c>
      <c r="D39" s="21" t="s">
        <v>371</v>
      </c>
      <c r="E39" s="17">
        <v>2</v>
      </c>
      <c r="F39" s="18" t="s">
        <v>514</v>
      </c>
      <c r="H39" s="21"/>
    </row>
    <row r="40" spans="1:8" ht="30" customHeight="1" x14ac:dyDescent="0.2">
      <c r="A40" s="14" t="s">
        <v>362</v>
      </c>
      <c r="B40" s="14" t="s">
        <v>363</v>
      </c>
      <c r="C40" s="15" t="s">
        <v>372</v>
      </c>
      <c r="D40" s="16" t="s">
        <v>373</v>
      </c>
      <c r="E40" s="17">
        <v>2</v>
      </c>
      <c r="F40" s="18" t="s">
        <v>45</v>
      </c>
      <c r="G40" t="s">
        <v>1074</v>
      </c>
      <c r="H40" s="16"/>
    </row>
    <row r="41" spans="1:8" ht="30" customHeight="1" x14ac:dyDescent="0.2">
      <c r="A41" s="19" t="s">
        <v>362</v>
      </c>
      <c r="B41" s="19" t="s">
        <v>363</v>
      </c>
      <c r="C41" s="20" t="s">
        <v>374</v>
      </c>
      <c r="D41" s="21" t="s">
        <v>375</v>
      </c>
      <c r="E41" s="23">
        <v>3</v>
      </c>
      <c r="F41" s="18" t="s">
        <v>45</v>
      </c>
      <c r="G41" t="s">
        <v>1075</v>
      </c>
      <c r="H41" s="21"/>
    </row>
    <row r="42" spans="1:8" ht="30" customHeight="1" x14ac:dyDescent="0.2">
      <c r="A42" s="14" t="s">
        <v>362</v>
      </c>
      <c r="B42" s="14" t="s">
        <v>363</v>
      </c>
      <c r="C42" s="15" t="s">
        <v>376</v>
      </c>
      <c r="D42" s="16" t="s">
        <v>377</v>
      </c>
      <c r="E42" s="23">
        <v>3</v>
      </c>
      <c r="F42" s="18" t="s">
        <v>514</v>
      </c>
      <c r="G42" s="16"/>
      <c r="H42" s="16"/>
    </row>
    <row r="43" spans="1:8" ht="30" customHeight="1" x14ac:dyDescent="0.2">
      <c r="A43" s="19" t="s">
        <v>362</v>
      </c>
      <c r="B43" s="19" t="s">
        <v>363</v>
      </c>
      <c r="C43" s="20" t="s">
        <v>378</v>
      </c>
      <c r="D43" s="21" t="s">
        <v>379</v>
      </c>
      <c r="E43" s="23">
        <v>3</v>
      </c>
      <c r="F43" s="18" t="s">
        <v>45</v>
      </c>
      <c r="G43" t="s">
        <v>1076</v>
      </c>
      <c r="H43" s="21"/>
    </row>
    <row r="44" spans="1:8" ht="18" customHeight="1" x14ac:dyDescent="0.2">
      <c r="A44" s="13" t="s">
        <v>380</v>
      </c>
      <c r="B44" s="13" t="s">
        <v>381</v>
      </c>
      <c r="C44" s="13"/>
      <c r="D44" s="13"/>
      <c r="E44" s="13"/>
      <c r="F44" s="13"/>
      <c r="G44" s="13"/>
      <c r="H44" s="13"/>
    </row>
    <row r="45" spans="1:8" ht="30" customHeight="1" x14ac:dyDescent="0.2">
      <c r="A45" s="14" t="s">
        <v>380</v>
      </c>
      <c r="B45" s="14" t="s">
        <v>381</v>
      </c>
      <c r="C45" s="15" t="s">
        <v>382</v>
      </c>
      <c r="D45" s="16" t="s">
        <v>383</v>
      </c>
      <c r="E45" s="17">
        <v>2</v>
      </c>
      <c r="F45" s="18" t="s">
        <v>514</v>
      </c>
      <c r="G45" s="16"/>
      <c r="H45" s="16"/>
    </row>
    <row r="46" spans="1:8" ht="30" customHeight="1" x14ac:dyDescent="0.2">
      <c r="A46" s="19" t="s">
        <v>380</v>
      </c>
      <c r="B46" s="19" t="s">
        <v>381</v>
      </c>
      <c r="C46" s="20" t="s">
        <v>384</v>
      </c>
      <c r="D46" s="21" t="s">
        <v>385</v>
      </c>
      <c r="E46" s="17">
        <v>2</v>
      </c>
      <c r="F46" s="18" t="s">
        <v>514</v>
      </c>
      <c r="G46" s="21"/>
      <c r="H46" s="21"/>
    </row>
    <row r="47" spans="1:8" ht="30" customHeight="1" x14ac:dyDescent="0.2">
      <c r="A47" s="14" t="s">
        <v>380</v>
      </c>
      <c r="B47" s="14" t="s">
        <v>381</v>
      </c>
      <c r="C47" s="15" t="s">
        <v>386</v>
      </c>
      <c r="D47" s="16" t="s">
        <v>387</v>
      </c>
      <c r="E47" s="17">
        <v>2</v>
      </c>
      <c r="F47" s="18" t="s">
        <v>514</v>
      </c>
      <c r="G47" s="16"/>
      <c r="H47" s="16"/>
    </row>
    <row r="48" spans="1:8" ht="30" customHeight="1" x14ac:dyDescent="0.2">
      <c r="A48" s="19" t="s">
        <v>380</v>
      </c>
      <c r="B48" s="19" t="s">
        <v>381</v>
      </c>
      <c r="C48" s="20" t="s">
        <v>388</v>
      </c>
      <c r="D48" s="21" t="s">
        <v>389</v>
      </c>
      <c r="E48" s="23">
        <v>3</v>
      </c>
      <c r="F48" s="18" t="s">
        <v>514</v>
      </c>
      <c r="G48" s="21"/>
      <c r="H48" s="21"/>
    </row>
    <row r="49" spans="1:8" ht="18" customHeight="1" x14ac:dyDescent="0.2">
      <c r="A49" s="13" t="s">
        <v>390</v>
      </c>
      <c r="B49" s="13" t="s">
        <v>391</v>
      </c>
      <c r="C49" s="13"/>
      <c r="D49" s="13"/>
      <c r="E49" s="13"/>
      <c r="F49" s="13"/>
      <c r="G49" s="13"/>
      <c r="H49" s="13"/>
    </row>
    <row r="50" spans="1:8" ht="30" customHeight="1" x14ac:dyDescent="0.2">
      <c r="A50" s="14" t="s">
        <v>390</v>
      </c>
      <c r="B50" s="14" t="s">
        <v>391</v>
      </c>
      <c r="C50" s="15" t="s">
        <v>392</v>
      </c>
      <c r="D50" s="16" t="s">
        <v>393</v>
      </c>
      <c r="E50" s="23">
        <v>3</v>
      </c>
      <c r="F50" s="18" t="s">
        <v>514</v>
      </c>
      <c r="G50" s="16"/>
      <c r="H50" s="16"/>
    </row>
    <row r="51" spans="1:8" ht="30" customHeight="1" x14ac:dyDescent="0.2">
      <c r="A51" s="19" t="s">
        <v>390</v>
      </c>
      <c r="B51" s="19" t="s">
        <v>391</v>
      </c>
      <c r="C51" s="20" t="s">
        <v>394</v>
      </c>
      <c r="D51" s="21" t="s">
        <v>395</v>
      </c>
      <c r="E51" s="23">
        <v>3</v>
      </c>
      <c r="F51" s="18" t="s">
        <v>514</v>
      </c>
      <c r="G51" s="21"/>
      <c r="H51" s="21"/>
    </row>
    <row r="52" spans="1:8" ht="18" customHeight="1" x14ac:dyDescent="0.2">
      <c r="A52" s="13" t="s">
        <v>396</v>
      </c>
      <c r="B52" s="13" t="s">
        <v>397</v>
      </c>
      <c r="C52" s="13"/>
      <c r="D52" s="13"/>
      <c r="E52" s="13"/>
      <c r="F52" s="13"/>
      <c r="G52" s="13"/>
      <c r="H52" s="13"/>
    </row>
    <row r="53" spans="1:8" ht="30" customHeight="1" x14ac:dyDescent="0.2">
      <c r="A53" s="14" t="s">
        <v>396</v>
      </c>
      <c r="B53" s="14" t="s">
        <v>397</v>
      </c>
      <c r="C53" s="15" t="s">
        <v>398</v>
      </c>
      <c r="D53" s="16" t="s">
        <v>399</v>
      </c>
      <c r="E53" s="17">
        <v>2</v>
      </c>
      <c r="F53" s="18" t="s">
        <v>514</v>
      </c>
      <c r="G53" s="16"/>
      <c r="H53" s="16"/>
    </row>
    <row r="54" spans="1:8" ht="30" customHeight="1" x14ac:dyDescent="0.2">
      <c r="A54" s="19" t="s">
        <v>396</v>
      </c>
      <c r="B54" s="19" t="s">
        <v>397</v>
      </c>
      <c r="C54" s="20" t="s">
        <v>400</v>
      </c>
      <c r="D54" s="21" t="s">
        <v>401</v>
      </c>
      <c r="E54" s="17">
        <v>2</v>
      </c>
      <c r="F54" s="18" t="s">
        <v>514</v>
      </c>
      <c r="G54" s="21"/>
      <c r="H54" s="21"/>
    </row>
    <row r="55" spans="1:8" ht="30" customHeight="1" x14ac:dyDescent="0.2">
      <c r="A55" s="14" t="s">
        <v>396</v>
      </c>
      <c r="B55" s="14" t="s">
        <v>397</v>
      </c>
      <c r="C55" s="15" t="s">
        <v>402</v>
      </c>
      <c r="D55" s="16" t="s">
        <v>403</v>
      </c>
      <c r="E55" s="17">
        <v>2</v>
      </c>
      <c r="F55" s="18" t="s">
        <v>514</v>
      </c>
      <c r="G55" s="16"/>
      <c r="H55" s="16"/>
    </row>
    <row r="56" spans="1:8" ht="30" customHeight="1" x14ac:dyDescent="0.2">
      <c r="A56" s="19" t="s">
        <v>396</v>
      </c>
      <c r="B56" s="19" t="s">
        <v>397</v>
      </c>
      <c r="C56" s="20" t="s">
        <v>404</v>
      </c>
      <c r="D56" s="21" t="s">
        <v>405</v>
      </c>
      <c r="E56" s="17">
        <v>2</v>
      </c>
      <c r="F56" s="18" t="s">
        <v>514</v>
      </c>
      <c r="G56" s="21"/>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activeCell="F25" sqref="F2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406</v>
      </c>
      <c r="B2" s="13" t="s">
        <v>407</v>
      </c>
      <c r="C2" s="13"/>
      <c r="D2" s="13"/>
      <c r="E2" s="13"/>
      <c r="F2" s="13"/>
      <c r="G2" s="13"/>
      <c r="H2" s="13"/>
    </row>
    <row r="3" spans="1:8" ht="30" customHeight="1" x14ac:dyDescent="0.2">
      <c r="A3" s="14" t="s">
        <v>406</v>
      </c>
      <c r="B3" s="14" t="s">
        <v>407</v>
      </c>
      <c r="C3" s="15" t="s">
        <v>408</v>
      </c>
      <c r="D3" s="16" t="s">
        <v>409</v>
      </c>
      <c r="E3" s="17">
        <v>2</v>
      </c>
      <c r="F3" s="18" t="s">
        <v>45</v>
      </c>
      <c r="G3" t="s">
        <v>1086</v>
      </c>
      <c r="H3" s="16"/>
    </row>
    <row r="4" spans="1:8" ht="30" customHeight="1" x14ac:dyDescent="0.2">
      <c r="A4" s="19" t="s">
        <v>406</v>
      </c>
      <c r="B4" s="19" t="s">
        <v>407</v>
      </c>
      <c r="C4" s="20" t="s">
        <v>410</v>
      </c>
      <c r="D4" s="21" t="s">
        <v>411</v>
      </c>
      <c r="E4" s="17">
        <v>2</v>
      </c>
      <c r="F4" s="18" t="s">
        <v>514</v>
      </c>
      <c r="G4" s="21"/>
      <c r="H4" s="21"/>
    </row>
    <row r="5" spans="1:8" ht="30" customHeight="1" x14ac:dyDescent="0.2">
      <c r="A5" s="14" t="s">
        <v>406</v>
      </c>
      <c r="B5" s="14" t="s">
        <v>407</v>
      </c>
      <c r="C5" s="15" t="s">
        <v>412</v>
      </c>
      <c r="D5" s="16" t="s">
        <v>413</v>
      </c>
      <c r="E5" s="17">
        <v>2</v>
      </c>
      <c r="F5" s="18" t="s">
        <v>514</v>
      </c>
      <c r="G5" s="16"/>
      <c r="H5" s="16"/>
    </row>
    <row r="6" spans="1:8" ht="18" customHeight="1" x14ac:dyDescent="0.2">
      <c r="A6" s="13" t="s">
        <v>414</v>
      </c>
      <c r="B6" s="13" t="s">
        <v>415</v>
      </c>
      <c r="C6" s="13"/>
      <c r="D6" s="13"/>
      <c r="E6" s="13"/>
      <c r="F6" s="13"/>
      <c r="G6" s="13"/>
      <c r="H6" s="13"/>
    </row>
    <row r="7" spans="1:8" ht="30" customHeight="1" x14ac:dyDescent="0.2">
      <c r="A7" s="14" t="s">
        <v>414</v>
      </c>
      <c r="B7" s="14" t="s">
        <v>415</v>
      </c>
      <c r="C7" s="15" t="s">
        <v>416</v>
      </c>
      <c r="D7" s="16" t="s">
        <v>417</v>
      </c>
      <c r="E7" s="22">
        <v>1</v>
      </c>
      <c r="F7" s="18" t="s">
        <v>45</v>
      </c>
      <c r="G7" t="s">
        <v>1085</v>
      </c>
      <c r="H7" s="16"/>
    </row>
    <row r="8" spans="1:8" ht="30" customHeight="1" x14ac:dyDescent="0.2">
      <c r="A8" s="19" t="s">
        <v>414</v>
      </c>
      <c r="B8" s="19" t="s">
        <v>415</v>
      </c>
      <c r="C8" s="20" t="s">
        <v>418</v>
      </c>
      <c r="D8" s="21" t="s">
        <v>419</v>
      </c>
      <c r="E8" s="22">
        <v>1</v>
      </c>
      <c r="F8" s="18" t="s">
        <v>45</v>
      </c>
      <c r="G8" t="s">
        <v>918</v>
      </c>
      <c r="H8" s="21"/>
    </row>
    <row r="9" spans="1:8" ht="30" customHeight="1" x14ac:dyDescent="0.2">
      <c r="A9" s="14" t="s">
        <v>414</v>
      </c>
      <c r="B9" s="14" t="s">
        <v>415</v>
      </c>
      <c r="C9" s="15" t="s">
        <v>420</v>
      </c>
      <c r="D9" s="16" t="s">
        <v>421</v>
      </c>
      <c r="E9" s="22">
        <v>1</v>
      </c>
      <c r="F9" s="18" t="s">
        <v>45</v>
      </c>
      <c r="G9" t="s">
        <v>925</v>
      </c>
      <c r="H9" s="16"/>
    </row>
    <row r="10" spans="1:8" ht="30" customHeight="1" x14ac:dyDescent="0.2">
      <c r="A10" s="19" t="s">
        <v>414</v>
      </c>
      <c r="B10" s="19" t="s">
        <v>415</v>
      </c>
      <c r="C10" s="20" t="s">
        <v>422</v>
      </c>
      <c r="D10" s="21" t="s">
        <v>423</v>
      </c>
      <c r="E10" s="22">
        <v>1</v>
      </c>
      <c r="F10" s="18" t="s">
        <v>45</v>
      </c>
      <c r="G10" t="s">
        <v>929</v>
      </c>
      <c r="H10" s="21"/>
    </row>
    <row r="11" spans="1:8" ht="18" customHeight="1" x14ac:dyDescent="0.2">
      <c r="A11" s="13" t="s">
        <v>424</v>
      </c>
      <c r="B11" s="13" t="s">
        <v>425</v>
      </c>
      <c r="C11" s="13"/>
      <c r="D11" s="13"/>
      <c r="E11" s="13"/>
      <c r="F11" s="13"/>
      <c r="G11" s="13"/>
      <c r="H11" s="13"/>
    </row>
    <row r="12" spans="1:8" ht="30" customHeight="1" x14ac:dyDescent="0.2">
      <c r="A12" s="14" t="s">
        <v>424</v>
      </c>
      <c r="B12" s="14" t="s">
        <v>425</v>
      </c>
      <c r="C12" s="15" t="s">
        <v>426</v>
      </c>
      <c r="D12" s="16" t="s">
        <v>427</v>
      </c>
      <c r="E12" s="17">
        <v>2</v>
      </c>
      <c r="F12" s="18" t="s">
        <v>45</v>
      </c>
      <c r="G12" t="s">
        <v>932</v>
      </c>
      <c r="H12" s="16"/>
    </row>
    <row r="13" spans="1:8" ht="30" customHeight="1" x14ac:dyDescent="0.2">
      <c r="A13" s="19" t="s">
        <v>424</v>
      </c>
      <c r="B13" s="19" t="s">
        <v>425</v>
      </c>
      <c r="C13" s="20" t="s">
        <v>428</v>
      </c>
      <c r="D13" s="21" t="s">
        <v>429</v>
      </c>
      <c r="E13" s="17">
        <v>2</v>
      </c>
      <c r="F13" s="18" t="s">
        <v>45</v>
      </c>
      <c r="G13" t="s">
        <v>935</v>
      </c>
      <c r="H13" s="21"/>
    </row>
    <row r="14" spans="1:8" ht="18" customHeight="1" x14ac:dyDescent="0.2">
      <c r="A14" s="13" t="s">
        <v>430</v>
      </c>
      <c r="B14" s="13" t="s">
        <v>431</v>
      </c>
      <c r="C14" s="13"/>
      <c r="D14" s="13"/>
      <c r="E14" s="13"/>
      <c r="F14" s="13"/>
      <c r="G14" s="13"/>
      <c r="H14" s="13"/>
    </row>
    <row r="15" spans="1:8" ht="30" customHeight="1" x14ac:dyDescent="0.2">
      <c r="A15" s="14" t="s">
        <v>430</v>
      </c>
      <c r="B15" s="14" t="s">
        <v>431</v>
      </c>
      <c r="C15" s="15" t="s">
        <v>432</v>
      </c>
      <c r="D15" s="16" t="s">
        <v>433</v>
      </c>
      <c r="E15" s="22">
        <v>1</v>
      </c>
      <c r="F15" s="18" t="s">
        <v>45</v>
      </c>
      <c r="G15" t="s">
        <v>937</v>
      </c>
      <c r="H15" s="16"/>
    </row>
    <row r="16" spans="1:8" ht="30" customHeight="1" x14ac:dyDescent="0.2">
      <c r="A16" s="19" t="s">
        <v>430</v>
      </c>
      <c r="B16" s="19" t="s">
        <v>431</v>
      </c>
      <c r="C16" s="20" t="s">
        <v>434</v>
      </c>
      <c r="D16" s="21" t="s">
        <v>435</v>
      </c>
      <c r="E16" s="22">
        <v>1</v>
      </c>
      <c r="F16" s="18" t="s">
        <v>45</v>
      </c>
      <c r="G16" t="s">
        <v>950</v>
      </c>
      <c r="H16" s="21"/>
    </row>
    <row r="17" spans="1:8" ht="30" customHeight="1" x14ac:dyDescent="0.2">
      <c r="A17" s="14" t="s">
        <v>430</v>
      </c>
      <c r="B17" s="14" t="s">
        <v>431</v>
      </c>
      <c r="C17" s="15" t="s">
        <v>436</v>
      </c>
      <c r="D17" s="16" t="s">
        <v>437</v>
      </c>
      <c r="E17" s="17">
        <v>2</v>
      </c>
      <c r="F17" s="18" t="s">
        <v>514</v>
      </c>
      <c r="G17" s="16"/>
      <c r="H17" s="16"/>
    </row>
    <row r="18" spans="1:8" ht="30" customHeight="1" x14ac:dyDescent="0.2">
      <c r="A18" s="19" t="s">
        <v>430</v>
      </c>
      <c r="B18" s="19" t="s">
        <v>431</v>
      </c>
      <c r="C18" s="20" t="s">
        <v>438</v>
      </c>
      <c r="D18" s="21" t="s">
        <v>439</v>
      </c>
      <c r="E18" s="17">
        <v>2</v>
      </c>
      <c r="F18" s="18" t="s">
        <v>514</v>
      </c>
      <c r="G18" s="21"/>
      <c r="H18" s="21"/>
    </row>
    <row r="19" spans="1:8" ht="30" customHeight="1" x14ac:dyDescent="0.2">
      <c r="A19" s="14" t="s">
        <v>430</v>
      </c>
      <c r="B19" s="14" t="s">
        <v>431</v>
      </c>
      <c r="C19" s="15" t="s">
        <v>440</v>
      </c>
      <c r="D19" s="16" t="s">
        <v>441</v>
      </c>
      <c r="E19" s="17">
        <v>2</v>
      </c>
      <c r="F19" s="18" t="s">
        <v>45</v>
      </c>
      <c r="G19" t="s">
        <v>953</v>
      </c>
      <c r="H19" s="16"/>
    </row>
    <row r="20" spans="1:8" ht="18" customHeight="1" x14ac:dyDescent="0.2">
      <c r="A20" s="13" t="s">
        <v>442</v>
      </c>
      <c r="B20" s="13" t="s">
        <v>443</v>
      </c>
      <c r="C20" s="13"/>
      <c r="D20" s="13"/>
      <c r="E20" s="13"/>
      <c r="F20" s="13"/>
      <c r="G20" s="13"/>
      <c r="H20" s="13"/>
    </row>
    <row r="21" spans="1:8" ht="30" customHeight="1" x14ac:dyDescent="0.2">
      <c r="A21" s="14" t="s">
        <v>442</v>
      </c>
      <c r="B21" s="14" t="s">
        <v>443</v>
      </c>
      <c r="C21" s="15" t="s">
        <v>444</v>
      </c>
      <c r="D21" s="16" t="s">
        <v>445</v>
      </c>
      <c r="E21" s="17">
        <v>2</v>
      </c>
      <c r="F21" s="18" t="s">
        <v>45</v>
      </c>
      <c r="G21" t="s">
        <v>971</v>
      </c>
      <c r="H21" s="16"/>
    </row>
    <row r="22" spans="1:8" ht="30" customHeight="1" x14ac:dyDescent="0.2">
      <c r="A22" s="19" t="s">
        <v>442</v>
      </c>
      <c r="B22" s="19" t="s">
        <v>443</v>
      </c>
      <c r="C22" s="20" t="s">
        <v>446</v>
      </c>
      <c r="D22" s="21" t="s">
        <v>447</v>
      </c>
      <c r="E22" s="17">
        <v>2</v>
      </c>
      <c r="F22" s="18" t="s">
        <v>514</v>
      </c>
      <c r="G22" s="21"/>
      <c r="H22" s="21"/>
    </row>
    <row r="23" spans="1:8" ht="30" customHeight="1" x14ac:dyDescent="0.2">
      <c r="A23" s="14" t="s">
        <v>442</v>
      </c>
      <c r="B23" s="14" t="s">
        <v>443</v>
      </c>
      <c r="C23" s="15" t="s">
        <v>448</v>
      </c>
      <c r="D23" s="16" t="s">
        <v>449</v>
      </c>
      <c r="E23" s="23">
        <v>3</v>
      </c>
      <c r="F23" s="18" t="s">
        <v>514</v>
      </c>
      <c r="G23" s="16"/>
      <c r="H23" s="16"/>
    </row>
    <row r="24" spans="1:8" ht="18" customHeight="1" x14ac:dyDescent="0.2">
      <c r="A24" s="13" t="s">
        <v>450</v>
      </c>
      <c r="B24" s="13" t="s">
        <v>451</v>
      </c>
      <c r="C24" s="13"/>
      <c r="D24" s="13"/>
      <c r="E24" s="13"/>
      <c r="F24" s="13"/>
      <c r="G24" s="13"/>
      <c r="H24" s="13"/>
    </row>
    <row r="25" spans="1:8" ht="30" customHeight="1" x14ac:dyDescent="0.2">
      <c r="A25" s="14" t="s">
        <v>450</v>
      </c>
      <c r="B25" s="14" t="s">
        <v>451</v>
      </c>
      <c r="C25" s="15" t="s">
        <v>452</v>
      </c>
      <c r="D25" s="16" t="s">
        <v>453</v>
      </c>
      <c r="E25" s="17">
        <v>2</v>
      </c>
      <c r="F25" s="18" t="s">
        <v>514</v>
      </c>
      <c r="H25" s="16"/>
    </row>
    <row r="26" spans="1:8" ht="30" customHeight="1" x14ac:dyDescent="0.2">
      <c r="A26" s="19" t="s">
        <v>450</v>
      </c>
      <c r="B26" s="19" t="s">
        <v>451</v>
      </c>
      <c r="C26" s="20" t="s">
        <v>454</v>
      </c>
      <c r="D26" s="21" t="s">
        <v>455</v>
      </c>
      <c r="E26" s="17">
        <v>2</v>
      </c>
      <c r="F26" s="18" t="s">
        <v>45</v>
      </c>
      <c r="G26" t="s">
        <v>974</v>
      </c>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activeCell="F13" sqref="F1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456</v>
      </c>
      <c r="B2" s="13" t="s">
        <v>457</v>
      </c>
      <c r="C2" s="13"/>
      <c r="D2" s="13"/>
      <c r="E2" s="13"/>
      <c r="F2" s="13"/>
      <c r="G2" s="13"/>
      <c r="H2" s="13"/>
    </row>
    <row r="3" spans="1:8" ht="30" customHeight="1" x14ac:dyDescent="0.2">
      <c r="A3" s="14" t="s">
        <v>456</v>
      </c>
      <c r="B3" s="14" t="s">
        <v>457</v>
      </c>
      <c r="C3" s="15" t="s">
        <v>458</v>
      </c>
      <c r="D3" s="16" t="s">
        <v>459</v>
      </c>
      <c r="E3" s="22">
        <v>1</v>
      </c>
      <c r="F3" s="18" t="s">
        <v>45</v>
      </c>
      <c r="G3" t="s">
        <v>1077</v>
      </c>
      <c r="H3" s="16"/>
    </row>
    <row r="4" spans="1:8" ht="30" customHeight="1" x14ac:dyDescent="0.2">
      <c r="A4" s="19" t="s">
        <v>456</v>
      </c>
      <c r="B4" s="19" t="s">
        <v>457</v>
      </c>
      <c r="C4" s="20" t="s">
        <v>460</v>
      </c>
      <c r="D4" s="21" t="s">
        <v>461</v>
      </c>
      <c r="E4" s="17">
        <v>2</v>
      </c>
      <c r="F4" s="18" t="s">
        <v>45</v>
      </c>
      <c r="G4" t="s">
        <v>1078</v>
      </c>
      <c r="H4" s="21"/>
    </row>
    <row r="5" spans="1:8" ht="30" customHeight="1" x14ac:dyDescent="0.2">
      <c r="A5" s="14" t="s">
        <v>456</v>
      </c>
      <c r="B5" s="14" t="s">
        <v>457</v>
      </c>
      <c r="C5" s="15" t="s">
        <v>462</v>
      </c>
      <c r="D5" s="16" t="s">
        <v>463</v>
      </c>
      <c r="E5" s="23">
        <v>3</v>
      </c>
      <c r="F5" s="18" t="s">
        <v>514</v>
      </c>
      <c r="G5" s="16"/>
      <c r="H5" s="16"/>
    </row>
    <row r="6" spans="1:8" ht="30" customHeight="1" x14ac:dyDescent="0.2">
      <c r="A6" s="19" t="s">
        <v>456</v>
      </c>
      <c r="B6" s="19" t="s">
        <v>457</v>
      </c>
      <c r="C6" s="20" t="s">
        <v>464</v>
      </c>
      <c r="D6" s="21" t="s">
        <v>465</v>
      </c>
      <c r="E6" s="23">
        <v>3</v>
      </c>
      <c r="F6" s="18" t="s">
        <v>514</v>
      </c>
      <c r="G6" s="21"/>
      <c r="H6" s="21"/>
    </row>
    <row r="7" spans="1:8" ht="18" customHeight="1" x14ac:dyDescent="0.2">
      <c r="A7" s="13" t="s">
        <v>466</v>
      </c>
      <c r="B7" s="13" t="s">
        <v>467</v>
      </c>
      <c r="C7" s="13"/>
      <c r="D7" s="13"/>
      <c r="E7" s="13"/>
      <c r="F7" s="13"/>
      <c r="G7" s="13"/>
      <c r="H7" s="13"/>
    </row>
    <row r="8" spans="1:8" ht="30" customHeight="1" x14ac:dyDescent="0.2">
      <c r="A8" s="14" t="s">
        <v>466</v>
      </c>
      <c r="B8" s="14" t="s">
        <v>467</v>
      </c>
      <c r="C8" s="15" t="s">
        <v>468</v>
      </c>
      <c r="D8" s="16" t="s">
        <v>469</v>
      </c>
      <c r="E8" s="22">
        <v>1</v>
      </c>
      <c r="F8" s="18" t="s">
        <v>45</v>
      </c>
      <c r="G8" t="s">
        <v>1079</v>
      </c>
      <c r="H8" s="16"/>
    </row>
    <row r="9" spans="1:8" ht="30" customHeight="1" x14ac:dyDescent="0.2">
      <c r="A9" s="19" t="s">
        <v>466</v>
      </c>
      <c r="B9" s="19" t="s">
        <v>467</v>
      </c>
      <c r="C9" s="20" t="s">
        <v>470</v>
      </c>
      <c r="D9" s="21" t="s">
        <v>471</v>
      </c>
      <c r="E9" s="22">
        <v>1</v>
      </c>
      <c r="F9" s="18" t="s">
        <v>45</v>
      </c>
      <c r="G9" t="s">
        <v>1080</v>
      </c>
      <c r="H9" s="21"/>
    </row>
    <row r="10" spans="1:8" ht="30" customHeight="1" x14ac:dyDescent="0.2">
      <c r="A10" s="14" t="s">
        <v>466</v>
      </c>
      <c r="B10" s="14" t="s">
        <v>467</v>
      </c>
      <c r="C10" s="15" t="s">
        <v>472</v>
      </c>
      <c r="D10" s="16" t="s">
        <v>473</v>
      </c>
      <c r="E10" s="17">
        <v>2</v>
      </c>
      <c r="F10" s="18" t="s">
        <v>45</v>
      </c>
      <c r="G10" t="s">
        <v>1081</v>
      </c>
      <c r="H10" s="16"/>
    </row>
    <row r="11" spans="1:8" ht="30" customHeight="1" x14ac:dyDescent="0.2">
      <c r="A11" s="19" t="s">
        <v>466</v>
      </c>
      <c r="B11" s="19" t="s">
        <v>467</v>
      </c>
      <c r="C11" s="20" t="s">
        <v>474</v>
      </c>
      <c r="D11" s="21" t="s">
        <v>475</v>
      </c>
      <c r="E11" s="23">
        <v>3</v>
      </c>
      <c r="F11" s="18" t="s">
        <v>45</v>
      </c>
      <c r="G11" t="s">
        <v>1082</v>
      </c>
      <c r="H11" s="21"/>
    </row>
    <row r="12" spans="1:8" ht="18" customHeight="1" x14ac:dyDescent="0.2">
      <c r="A12" s="13" t="s">
        <v>476</v>
      </c>
      <c r="B12" s="13" t="s">
        <v>477</v>
      </c>
      <c r="C12" s="13"/>
      <c r="D12" s="13"/>
      <c r="E12" s="13"/>
      <c r="F12" s="13"/>
      <c r="G12" s="13"/>
      <c r="H12" s="13"/>
    </row>
    <row r="13" spans="1:8" ht="30" customHeight="1" x14ac:dyDescent="0.2">
      <c r="A13" s="14" t="s">
        <v>476</v>
      </c>
      <c r="B13" s="14" t="s">
        <v>477</v>
      </c>
      <c r="C13" s="15" t="s">
        <v>478</v>
      </c>
      <c r="D13" s="16" t="s">
        <v>479</v>
      </c>
      <c r="E13" s="22">
        <v>1</v>
      </c>
      <c r="F13" s="18" t="s">
        <v>514</v>
      </c>
      <c r="H13" s="16"/>
    </row>
    <row r="14" spans="1:8" ht="30" customHeight="1" x14ac:dyDescent="0.2">
      <c r="A14" s="19" t="s">
        <v>476</v>
      </c>
      <c r="B14" s="19" t="s">
        <v>477</v>
      </c>
      <c r="C14" s="20" t="s">
        <v>480</v>
      </c>
      <c r="D14" s="21" t="s">
        <v>481</v>
      </c>
      <c r="E14" s="23">
        <v>3</v>
      </c>
      <c r="F14" s="18" t="s">
        <v>45</v>
      </c>
      <c r="G14" t="s">
        <v>1083</v>
      </c>
      <c r="H14" s="21"/>
    </row>
    <row r="15" spans="1:8" ht="30" customHeight="1" x14ac:dyDescent="0.2">
      <c r="A15" s="14" t="s">
        <v>476</v>
      </c>
      <c r="B15" s="14" t="s">
        <v>477</v>
      </c>
      <c r="C15" s="15" t="s">
        <v>482</v>
      </c>
      <c r="D15" s="16" t="s">
        <v>483</v>
      </c>
      <c r="E15" s="23">
        <v>3</v>
      </c>
      <c r="F15" s="18" t="s">
        <v>45</v>
      </c>
      <c r="G15" t="s">
        <v>1084</v>
      </c>
      <c r="H15" s="16"/>
    </row>
    <row r="16" spans="1:8" ht="18" customHeight="1" x14ac:dyDescent="0.2">
      <c r="A16" s="13" t="s">
        <v>484</v>
      </c>
      <c r="B16" s="13" t="s">
        <v>485</v>
      </c>
      <c r="C16" s="13"/>
      <c r="D16" s="13"/>
      <c r="E16" s="13"/>
      <c r="F16" s="13"/>
      <c r="G16" s="13"/>
      <c r="H16" s="13"/>
    </row>
    <row r="17" spans="1:8" ht="30" customHeight="1" x14ac:dyDescent="0.2">
      <c r="A17" s="14" t="s">
        <v>484</v>
      </c>
      <c r="B17" s="14" t="s">
        <v>485</v>
      </c>
      <c r="C17" s="15" t="s">
        <v>486</v>
      </c>
      <c r="D17" s="16" t="s">
        <v>487</v>
      </c>
      <c r="E17" s="17">
        <v>2</v>
      </c>
      <c r="F17" s="18" t="s">
        <v>514</v>
      </c>
      <c r="G17" s="16"/>
      <c r="H17" s="16"/>
    </row>
    <row r="18" spans="1:8" ht="30" customHeight="1" x14ac:dyDescent="0.2">
      <c r="A18" s="19" t="s">
        <v>484</v>
      </c>
      <c r="B18" s="19" t="s">
        <v>485</v>
      </c>
      <c r="C18" s="20" t="s">
        <v>488</v>
      </c>
      <c r="D18" s="21" t="s">
        <v>489</v>
      </c>
      <c r="E18" s="23">
        <v>3</v>
      </c>
      <c r="F18" s="18" t="s">
        <v>514</v>
      </c>
      <c r="G18" s="21"/>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125" zoomScaleNormal="75" workbookViewId="0">
      <pane ySplit="1" topLeftCell="A2" activePane="bottomLeft" state="frozen"/>
      <selection pane="bottomLeft" activeCell="G21" sqref="G21"/>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490</v>
      </c>
      <c r="B2" s="13" t="s">
        <v>491</v>
      </c>
      <c r="C2" s="13"/>
      <c r="D2" s="13"/>
      <c r="E2" s="13"/>
      <c r="F2" s="13"/>
      <c r="G2" s="13"/>
      <c r="H2" s="13"/>
    </row>
    <row r="3" spans="1:8" ht="56" customHeight="1" x14ac:dyDescent="0.2">
      <c r="A3" s="14" t="s">
        <v>490</v>
      </c>
      <c r="B3" s="14" t="s">
        <v>491</v>
      </c>
      <c r="C3" s="15" t="s">
        <v>492</v>
      </c>
      <c r="D3" s="16" t="s">
        <v>493</v>
      </c>
      <c r="E3" s="22">
        <v>1</v>
      </c>
      <c r="F3" s="18" t="s">
        <v>45</v>
      </c>
      <c r="G3" s="16" t="s">
        <v>1033</v>
      </c>
      <c r="H3" s="16"/>
    </row>
    <row r="4" spans="1:8" ht="55" customHeight="1" x14ac:dyDescent="0.2">
      <c r="A4" s="19" t="s">
        <v>490</v>
      </c>
      <c r="B4" s="19" t="s">
        <v>491</v>
      </c>
      <c r="C4" s="20" t="s">
        <v>494</v>
      </c>
      <c r="D4" s="21" t="s">
        <v>495</v>
      </c>
      <c r="E4" s="22">
        <v>1</v>
      </c>
      <c r="F4" s="18" t="s">
        <v>45</v>
      </c>
      <c r="G4" s="21" t="s">
        <v>1034</v>
      </c>
      <c r="H4" s="21"/>
    </row>
    <row r="5" spans="1:8" ht="61" customHeight="1" x14ac:dyDescent="0.2">
      <c r="A5" s="14" t="s">
        <v>490</v>
      </c>
      <c r="B5" s="14" t="s">
        <v>491</v>
      </c>
      <c r="C5" s="15" t="s">
        <v>496</v>
      </c>
      <c r="D5" s="16" t="s">
        <v>497</v>
      </c>
      <c r="E5" s="22">
        <v>1</v>
      </c>
      <c r="F5" s="18" t="s">
        <v>45</v>
      </c>
      <c r="G5" s="16" t="s">
        <v>1035</v>
      </c>
      <c r="H5" s="16"/>
    </row>
    <row r="6" spans="1:8" ht="18" customHeight="1" x14ac:dyDescent="0.2">
      <c r="A6" s="13" t="s">
        <v>498</v>
      </c>
      <c r="B6" s="13" t="s">
        <v>499</v>
      </c>
      <c r="C6" s="13"/>
      <c r="D6" s="13"/>
      <c r="E6" s="13"/>
      <c r="F6" s="13"/>
      <c r="G6" s="13"/>
      <c r="H6" s="13"/>
    </row>
    <row r="7" spans="1:8" ht="63" customHeight="1" x14ac:dyDescent="0.2">
      <c r="A7" s="14" t="s">
        <v>498</v>
      </c>
      <c r="B7" s="14" t="s">
        <v>499</v>
      </c>
      <c r="C7" s="15" t="s">
        <v>500</v>
      </c>
      <c r="D7" s="16" t="s">
        <v>501</v>
      </c>
      <c r="E7" s="22">
        <v>1</v>
      </c>
      <c r="F7" s="18" t="s">
        <v>45</v>
      </c>
      <c r="G7" s="16" t="s">
        <v>1036</v>
      </c>
      <c r="H7" s="16"/>
    </row>
    <row r="8" spans="1:8" ht="57" customHeight="1" x14ac:dyDescent="0.2">
      <c r="A8" s="19" t="s">
        <v>498</v>
      </c>
      <c r="B8" s="19" t="s">
        <v>499</v>
      </c>
      <c r="C8" s="20" t="s">
        <v>502</v>
      </c>
      <c r="D8" s="21" t="s">
        <v>503</v>
      </c>
      <c r="E8" s="17">
        <v>2</v>
      </c>
      <c r="F8" s="18" t="s">
        <v>45</v>
      </c>
      <c r="G8" s="21" t="s">
        <v>1037</v>
      </c>
      <c r="H8" s="21"/>
    </row>
    <row r="9" spans="1:8" ht="37" customHeight="1" x14ac:dyDescent="0.2">
      <c r="A9" s="14" t="s">
        <v>498</v>
      </c>
      <c r="B9" s="14" t="s">
        <v>499</v>
      </c>
      <c r="C9" s="15" t="s">
        <v>504</v>
      </c>
      <c r="D9" s="16" t="s">
        <v>505</v>
      </c>
      <c r="E9" s="17">
        <v>2</v>
      </c>
      <c r="F9" s="18" t="s">
        <v>45</v>
      </c>
      <c r="G9" s="16" t="s">
        <v>1038</v>
      </c>
      <c r="H9" s="16"/>
    </row>
    <row r="10" spans="1:8" ht="30" customHeight="1" x14ac:dyDescent="0.2">
      <c r="A10" s="19" t="s">
        <v>498</v>
      </c>
      <c r="B10" s="19" t="s">
        <v>499</v>
      </c>
      <c r="C10" s="20" t="s">
        <v>506</v>
      </c>
      <c r="D10" s="21" t="s">
        <v>507</v>
      </c>
      <c r="E10" s="17">
        <v>2</v>
      </c>
      <c r="F10" s="18" t="s">
        <v>514</v>
      </c>
      <c r="G10" s="21"/>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H44"/>
  <sheetViews>
    <sheetView zoomScale="139" zoomScaleNormal="75" workbookViewId="0">
      <pane ySplit="1" topLeftCell="A2" activePane="bottomLeft" state="frozen"/>
      <selection pane="bottomLeft" activeCell="D47" sqref="D4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508</v>
      </c>
      <c r="B2" s="13" t="s">
        <v>509</v>
      </c>
      <c r="C2" s="13"/>
      <c r="D2" s="13"/>
      <c r="E2" s="13"/>
      <c r="F2" s="13"/>
      <c r="G2" s="13"/>
      <c r="H2" s="13"/>
    </row>
    <row r="3" spans="1:8" ht="30" hidden="1" customHeight="1" x14ac:dyDescent="0.2">
      <c r="A3" s="14" t="s">
        <v>508</v>
      </c>
      <c r="B3" s="14" t="s">
        <v>509</v>
      </c>
      <c r="C3" s="15" t="s">
        <v>510</v>
      </c>
      <c r="D3" s="16" t="s">
        <v>511</v>
      </c>
      <c r="E3" s="17">
        <v>2</v>
      </c>
      <c r="F3" s="18" t="s">
        <v>514</v>
      </c>
      <c r="G3" s="16"/>
      <c r="H3" s="16"/>
    </row>
    <row r="4" spans="1:8" ht="110" hidden="1" customHeight="1" x14ac:dyDescent="0.2">
      <c r="A4" s="19" t="s">
        <v>508</v>
      </c>
      <c r="B4" s="19" t="s">
        <v>509</v>
      </c>
      <c r="C4" s="20" t="s">
        <v>512</v>
      </c>
      <c r="D4" s="21" t="s">
        <v>513</v>
      </c>
      <c r="E4" s="17">
        <v>2</v>
      </c>
      <c r="F4" s="18" t="s">
        <v>514</v>
      </c>
      <c r="G4" s="21"/>
      <c r="H4" s="21"/>
    </row>
    <row r="5" spans="1:8" ht="18" customHeight="1" x14ac:dyDescent="0.2">
      <c r="A5" s="13" t="s">
        <v>515</v>
      </c>
      <c r="B5" s="13" t="s">
        <v>516</v>
      </c>
      <c r="C5" s="13"/>
      <c r="D5" s="13"/>
      <c r="E5" s="13"/>
      <c r="F5" s="13"/>
      <c r="G5" s="13"/>
      <c r="H5" s="13"/>
    </row>
    <row r="6" spans="1:8" ht="30" hidden="1" customHeight="1" x14ac:dyDescent="0.2">
      <c r="A6" s="14" t="s">
        <v>515</v>
      </c>
      <c r="B6" s="14" t="s">
        <v>516</v>
      </c>
      <c r="C6" s="15" t="s">
        <v>517</v>
      </c>
      <c r="D6" s="16" t="s">
        <v>518</v>
      </c>
      <c r="E6" s="17">
        <v>2</v>
      </c>
      <c r="F6" s="18" t="s">
        <v>514</v>
      </c>
      <c r="G6" s="16"/>
      <c r="H6" s="16"/>
    </row>
    <row r="7" spans="1:8" ht="67" hidden="1" customHeight="1" x14ac:dyDescent="0.2">
      <c r="A7" s="19" t="s">
        <v>515</v>
      </c>
      <c r="B7" s="19" t="s">
        <v>516</v>
      </c>
      <c r="C7" s="20" t="s">
        <v>519</v>
      </c>
      <c r="D7" s="21" t="s">
        <v>520</v>
      </c>
      <c r="E7" s="17">
        <v>2</v>
      </c>
      <c r="F7" s="18" t="s">
        <v>514</v>
      </c>
      <c r="G7" s="21"/>
      <c r="H7" s="21"/>
    </row>
    <row r="8" spans="1:8" ht="30" hidden="1" customHeight="1" x14ac:dyDescent="0.2">
      <c r="A8" s="14" t="s">
        <v>515</v>
      </c>
      <c r="B8" s="14" t="s">
        <v>516</v>
      </c>
      <c r="C8" s="15" t="s">
        <v>521</v>
      </c>
      <c r="D8" s="16" t="s">
        <v>522</v>
      </c>
      <c r="E8" s="23">
        <v>3</v>
      </c>
      <c r="F8" s="18" t="s">
        <v>514</v>
      </c>
      <c r="G8" s="16"/>
      <c r="H8" s="16"/>
    </row>
    <row r="9" spans="1:8" ht="18" customHeight="1" x14ac:dyDescent="0.2">
      <c r="A9" s="13" t="s">
        <v>523</v>
      </c>
      <c r="B9" s="13" t="s">
        <v>524</v>
      </c>
      <c r="C9" s="13"/>
      <c r="D9" s="13"/>
      <c r="E9" s="13"/>
      <c r="F9" s="13"/>
      <c r="G9" s="13"/>
      <c r="H9" s="13"/>
    </row>
    <row r="10" spans="1:8" ht="68" hidden="1" customHeight="1" x14ac:dyDescent="0.2">
      <c r="A10" s="14" t="s">
        <v>523</v>
      </c>
      <c r="B10" s="14" t="s">
        <v>524</v>
      </c>
      <c r="C10" s="15" t="s">
        <v>525</v>
      </c>
      <c r="D10" s="16" t="s">
        <v>526</v>
      </c>
      <c r="E10" s="17">
        <v>2</v>
      </c>
      <c r="F10" s="18" t="s">
        <v>514</v>
      </c>
      <c r="G10" s="16"/>
      <c r="H10" s="16"/>
    </row>
    <row r="11" spans="1:8" ht="52" customHeight="1" x14ac:dyDescent="0.2">
      <c r="A11" s="19" t="s">
        <v>523</v>
      </c>
      <c r="B11" s="19" t="s">
        <v>524</v>
      </c>
      <c r="C11" s="20" t="s">
        <v>527</v>
      </c>
      <c r="D11" s="21" t="s">
        <v>528</v>
      </c>
      <c r="E11" s="17">
        <v>2</v>
      </c>
      <c r="F11" s="18" t="s">
        <v>45</v>
      </c>
      <c r="G11" s="26" t="s">
        <v>927</v>
      </c>
      <c r="H11" s="21"/>
    </row>
    <row r="12" spans="1:8" ht="64" hidden="1" customHeight="1" x14ac:dyDescent="0.2">
      <c r="A12" s="14" t="s">
        <v>523</v>
      </c>
      <c r="B12" s="14" t="s">
        <v>524</v>
      </c>
      <c r="C12" s="15" t="s">
        <v>529</v>
      </c>
      <c r="D12" s="16" t="s">
        <v>530</v>
      </c>
      <c r="E12" s="17">
        <v>2</v>
      </c>
      <c r="F12" s="18" t="s">
        <v>514</v>
      </c>
      <c r="G12" s="16"/>
      <c r="H12" s="16"/>
    </row>
    <row r="13" spans="1:8" ht="67" hidden="1" customHeight="1" x14ac:dyDescent="0.2">
      <c r="A13" s="19" t="s">
        <v>523</v>
      </c>
      <c r="B13" s="19" t="s">
        <v>524</v>
      </c>
      <c r="C13" s="20" t="s">
        <v>531</v>
      </c>
      <c r="D13" s="21" t="s">
        <v>532</v>
      </c>
      <c r="E13" s="17">
        <v>2</v>
      </c>
      <c r="F13" s="18" t="s">
        <v>514</v>
      </c>
      <c r="G13" s="21"/>
      <c r="H13" s="21"/>
    </row>
    <row r="14" spans="1:8" ht="60" hidden="1" customHeight="1" x14ac:dyDescent="0.2">
      <c r="A14" s="14" t="s">
        <v>523</v>
      </c>
      <c r="B14" s="14" t="s">
        <v>524</v>
      </c>
      <c r="C14" s="15" t="s">
        <v>533</v>
      </c>
      <c r="D14" s="16" t="s">
        <v>534</v>
      </c>
      <c r="E14" s="23">
        <v>3</v>
      </c>
      <c r="F14" s="18" t="s">
        <v>514</v>
      </c>
      <c r="G14" s="16"/>
      <c r="H14" s="16"/>
    </row>
    <row r="15" spans="1:8" ht="18" customHeight="1" x14ac:dyDescent="0.2">
      <c r="A15" s="13" t="s">
        <v>535</v>
      </c>
      <c r="B15" s="13" t="s">
        <v>536</v>
      </c>
      <c r="C15" s="13"/>
      <c r="D15" s="13"/>
      <c r="E15" s="13"/>
      <c r="F15" s="13"/>
      <c r="G15" s="13"/>
      <c r="H15" s="13"/>
    </row>
    <row r="16" spans="1:8" ht="30" hidden="1" customHeight="1" x14ac:dyDescent="0.2">
      <c r="A16" s="14" t="s">
        <v>535</v>
      </c>
      <c r="B16" s="14" t="s">
        <v>536</v>
      </c>
      <c r="C16" s="15" t="s">
        <v>537</v>
      </c>
      <c r="D16" s="16" t="s">
        <v>538</v>
      </c>
      <c r="E16" s="22">
        <v>1</v>
      </c>
      <c r="F16" s="18" t="s">
        <v>514</v>
      </c>
      <c r="G16" s="16"/>
      <c r="H16" s="16"/>
    </row>
    <row r="17" spans="1:8" ht="30" hidden="1" customHeight="1" x14ac:dyDescent="0.2">
      <c r="A17" s="19" t="s">
        <v>535</v>
      </c>
      <c r="B17" s="19" t="s">
        <v>536</v>
      </c>
      <c r="C17" s="20" t="s">
        <v>539</v>
      </c>
      <c r="D17" s="21" t="s">
        <v>540</v>
      </c>
      <c r="E17" s="22">
        <v>1</v>
      </c>
      <c r="F17" s="18" t="s">
        <v>514</v>
      </c>
      <c r="G17" s="21"/>
      <c r="H17" s="21"/>
    </row>
    <row r="18" spans="1:8" ht="45" customHeight="1" x14ac:dyDescent="0.2">
      <c r="A18" s="14" t="s">
        <v>535</v>
      </c>
      <c r="B18" s="14" t="s">
        <v>536</v>
      </c>
      <c r="C18" s="15" t="s">
        <v>541</v>
      </c>
      <c r="D18" s="16" t="s">
        <v>542</v>
      </c>
      <c r="E18" s="22">
        <v>1</v>
      </c>
      <c r="F18" s="18" t="s">
        <v>45</v>
      </c>
      <c r="G18" s="16" t="s">
        <v>928</v>
      </c>
      <c r="H18" s="16"/>
    </row>
    <row r="19" spans="1:8" ht="30" hidden="1" customHeight="1" x14ac:dyDescent="0.2">
      <c r="A19" s="19" t="s">
        <v>535</v>
      </c>
      <c r="B19" s="19" t="s">
        <v>536</v>
      </c>
      <c r="C19" s="20" t="s">
        <v>543</v>
      </c>
      <c r="D19" s="21" t="s">
        <v>544</v>
      </c>
      <c r="E19" s="22">
        <v>1</v>
      </c>
      <c r="F19" s="18" t="s">
        <v>514</v>
      </c>
      <c r="G19" s="21"/>
      <c r="H19" s="21"/>
    </row>
    <row r="20" spans="1:8" ht="44" customHeight="1" x14ac:dyDescent="0.2">
      <c r="A20" s="14" t="s">
        <v>535</v>
      </c>
      <c r="B20" s="14" t="s">
        <v>536</v>
      </c>
      <c r="C20" s="15" t="s">
        <v>545</v>
      </c>
      <c r="D20" s="16" t="s">
        <v>546</v>
      </c>
      <c r="E20" s="22">
        <v>1</v>
      </c>
      <c r="F20" s="18" t="s">
        <v>45</v>
      </c>
      <c r="G20" s="16" t="s">
        <v>933</v>
      </c>
      <c r="H20" s="16"/>
    </row>
    <row r="21" spans="1:8" ht="30" hidden="1" customHeight="1" x14ac:dyDescent="0.2">
      <c r="A21" s="19" t="s">
        <v>535</v>
      </c>
      <c r="B21" s="19" t="s">
        <v>536</v>
      </c>
      <c r="C21" s="20" t="s">
        <v>547</v>
      </c>
      <c r="D21" s="21" t="s">
        <v>548</v>
      </c>
      <c r="E21" s="17">
        <v>2</v>
      </c>
      <c r="F21" s="18" t="s">
        <v>514</v>
      </c>
      <c r="G21" s="21"/>
      <c r="H21" s="21"/>
    </row>
    <row r="22" spans="1:8" ht="30" hidden="1" customHeight="1" x14ac:dyDescent="0.2">
      <c r="A22" s="14" t="s">
        <v>535</v>
      </c>
      <c r="B22" s="14" t="s">
        <v>536</v>
      </c>
      <c r="C22" s="15" t="s">
        <v>549</v>
      </c>
      <c r="D22" s="16" t="s">
        <v>550</v>
      </c>
      <c r="E22" s="17">
        <v>2</v>
      </c>
      <c r="F22" s="18" t="s">
        <v>514</v>
      </c>
      <c r="G22" s="16"/>
      <c r="H22" s="16"/>
    </row>
    <row r="23" spans="1:8" ht="44" customHeight="1" x14ac:dyDescent="0.2">
      <c r="A23" s="19" t="s">
        <v>535</v>
      </c>
      <c r="B23" s="19" t="s">
        <v>536</v>
      </c>
      <c r="C23" s="20" t="s">
        <v>551</v>
      </c>
      <c r="D23" s="21" t="s">
        <v>552</v>
      </c>
      <c r="E23" s="17">
        <v>2</v>
      </c>
      <c r="F23" s="18" t="s">
        <v>45</v>
      </c>
      <c r="G23" s="21" t="s">
        <v>934</v>
      </c>
      <c r="H23" s="21"/>
    </row>
    <row r="24" spans="1:8" ht="46" customHeight="1" x14ac:dyDescent="0.2">
      <c r="A24" s="14" t="s">
        <v>535</v>
      </c>
      <c r="B24" s="14" t="s">
        <v>536</v>
      </c>
      <c r="C24" s="15" t="s">
        <v>553</v>
      </c>
      <c r="D24" s="16" t="s">
        <v>554</v>
      </c>
      <c r="E24" s="17">
        <v>2</v>
      </c>
      <c r="F24" s="18" t="s">
        <v>45</v>
      </c>
      <c r="G24" s="16" t="s">
        <v>936</v>
      </c>
      <c r="H24" s="16"/>
    </row>
    <row r="25" spans="1:8" ht="30" hidden="1" customHeight="1" x14ac:dyDescent="0.2">
      <c r="A25" s="19" t="s">
        <v>535</v>
      </c>
      <c r="B25" s="19" t="s">
        <v>536</v>
      </c>
      <c r="C25" s="20" t="s">
        <v>555</v>
      </c>
      <c r="D25" s="21" t="s">
        <v>556</v>
      </c>
      <c r="E25" s="17">
        <v>2</v>
      </c>
      <c r="F25" s="18" t="s">
        <v>514</v>
      </c>
      <c r="G25" s="21"/>
      <c r="H25" s="21"/>
    </row>
    <row r="26" spans="1:8" ht="30" hidden="1" customHeight="1" x14ac:dyDescent="0.2">
      <c r="A26" s="14" t="s">
        <v>535</v>
      </c>
      <c r="B26" s="14" t="s">
        <v>536</v>
      </c>
      <c r="C26" s="15" t="s">
        <v>557</v>
      </c>
      <c r="D26" s="16" t="s">
        <v>558</v>
      </c>
      <c r="E26" s="17">
        <v>2</v>
      </c>
      <c r="F26" s="18" t="s">
        <v>514</v>
      </c>
      <c r="G26" s="16"/>
      <c r="H26" s="16"/>
    </row>
    <row r="27" spans="1:8" ht="30" hidden="1" customHeight="1" x14ac:dyDescent="0.2">
      <c r="A27" s="19" t="s">
        <v>535</v>
      </c>
      <c r="B27" s="19" t="s">
        <v>536</v>
      </c>
      <c r="C27" s="20" t="s">
        <v>559</v>
      </c>
      <c r="D27" s="21" t="s">
        <v>560</v>
      </c>
      <c r="E27" s="23">
        <v>3</v>
      </c>
      <c r="F27" s="18" t="s">
        <v>514</v>
      </c>
      <c r="G27" s="21"/>
      <c r="H27" s="21"/>
    </row>
    <row r="28" spans="1:8" ht="30" hidden="1" customHeight="1" x14ac:dyDescent="0.2">
      <c r="A28" s="14" t="s">
        <v>535</v>
      </c>
      <c r="B28" s="14" t="s">
        <v>536</v>
      </c>
      <c r="C28" s="15" t="s">
        <v>561</v>
      </c>
      <c r="D28" s="16" t="s">
        <v>562</v>
      </c>
      <c r="E28" s="23">
        <v>3</v>
      </c>
      <c r="F28" s="18" t="s">
        <v>514</v>
      </c>
      <c r="G28" s="16"/>
      <c r="H28" s="16"/>
    </row>
    <row r="29" spans="1:8" ht="30" hidden="1" customHeight="1" x14ac:dyDescent="0.2">
      <c r="A29" s="19" t="s">
        <v>535</v>
      </c>
      <c r="B29" s="19" t="s">
        <v>536</v>
      </c>
      <c r="C29" s="20" t="s">
        <v>563</v>
      </c>
      <c r="D29" s="21" t="s">
        <v>564</v>
      </c>
      <c r="E29" s="23">
        <v>3</v>
      </c>
      <c r="F29" s="18" t="s">
        <v>514</v>
      </c>
      <c r="G29" s="21"/>
      <c r="H29" s="21"/>
    </row>
    <row r="30" spans="1:8" ht="30" hidden="1" customHeight="1" x14ac:dyDescent="0.2">
      <c r="A30" s="14" t="s">
        <v>535</v>
      </c>
      <c r="B30" s="14" t="s">
        <v>536</v>
      </c>
      <c r="C30" s="15" t="s">
        <v>565</v>
      </c>
      <c r="D30" s="16" t="s">
        <v>566</v>
      </c>
      <c r="E30" s="23">
        <v>3</v>
      </c>
      <c r="F30" s="18" t="s">
        <v>514</v>
      </c>
      <c r="G30" s="16"/>
      <c r="H30" s="16"/>
    </row>
    <row r="31" spans="1:8" ht="30" hidden="1" customHeight="1" x14ac:dyDescent="0.2">
      <c r="A31" s="19" t="s">
        <v>535</v>
      </c>
      <c r="B31" s="19" t="s">
        <v>536</v>
      </c>
      <c r="C31" s="20" t="s">
        <v>567</v>
      </c>
      <c r="D31" s="21" t="s">
        <v>568</v>
      </c>
      <c r="E31" s="23">
        <v>3</v>
      </c>
      <c r="F31" s="18" t="s">
        <v>514</v>
      </c>
      <c r="G31" s="21"/>
      <c r="H31" s="21"/>
    </row>
    <row r="32" spans="1:8" ht="18" customHeight="1" x14ac:dyDescent="0.2">
      <c r="A32" s="13" t="s">
        <v>569</v>
      </c>
      <c r="B32" s="13" t="s">
        <v>570</v>
      </c>
      <c r="C32" s="13"/>
      <c r="D32" s="13"/>
      <c r="E32" s="13"/>
      <c r="F32" s="13"/>
      <c r="G32" s="13"/>
      <c r="H32" s="13"/>
    </row>
    <row r="33" spans="1:8" ht="30" hidden="1" customHeight="1" x14ac:dyDescent="0.2">
      <c r="A33" s="14" t="s">
        <v>569</v>
      </c>
      <c r="B33" s="14" t="s">
        <v>570</v>
      </c>
      <c r="C33" s="15" t="s">
        <v>571</v>
      </c>
      <c r="D33" s="16" t="s">
        <v>572</v>
      </c>
      <c r="E33" s="17">
        <v>2</v>
      </c>
      <c r="F33" s="18" t="s">
        <v>514</v>
      </c>
      <c r="G33" s="16"/>
      <c r="H33" s="16"/>
    </row>
    <row r="34" spans="1:8" ht="30" hidden="1" customHeight="1" x14ac:dyDescent="0.2">
      <c r="A34" s="19" t="s">
        <v>569</v>
      </c>
      <c r="B34" s="19" t="s">
        <v>570</v>
      </c>
      <c r="C34" s="20" t="s">
        <v>573</v>
      </c>
      <c r="D34" s="21" t="s">
        <v>574</v>
      </c>
      <c r="E34" s="17">
        <v>2</v>
      </c>
      <c r="F34" s="18" t="s">
        <v>514</v>
      </c>
      <c r="G34" s="21"/>
      <c r="H34" s="21"/>
    </row>
    <row r="35" spans="1:8" ht="30" hidden="1" customHeight="1" x14ac:dyDescent="0.2">
      <c r="A35" s="14" t="s">
        <v>569</v>
      </c>
      <c r="B35" s="14" t="s">
        <v>570</v>
      </c>
      <c r="C35" s="15" t="s">
        <v>575</v>
      </c>
      <c r="D35" s="16" t="s">
        <v>576</v>
      </c>
      <c r="E35" s="17">
        <v>2</v>
      </c>
      <c r="F35" s="18" t="s">
        <v>514</v>
      </c>
      <c r="G35" s="16"/>
      <c r="H35" s="16"/>
    </row>
    <row r="36" spans="1:8" ht="30" hidden="1" customHeight="1" x14ac:dyDescent="0.2">
      <c r="A36" s="19" t="s">
        <v>569</v>
      </c>
      <c r="B36" s="19" t="s">
        <v>570</v>
      </c>
      <c r="C36" s="20" t="s">
        <v>577</v>
      </c>
      <c r="D36" s="21" t="s">
        <v>578</v>
      </c>
      <c r="E36" s="17">
        <v>2</v>
      </c>
      <c r="F36" s="18" t="s">
        <v>514</v>
      </c>
      <c r="G36" s="21"/>
      <c r="H36" s="21"/>
    </row>
    <row r="37" spans="1:8" ht="30" hidden="1" customHeight="1" x14ac:dyDescent="0.2">
      <c r="A37" s="14" t="s">
        <v>569</v>
      </c>
      <c r="B37" s="14" t="s">
        <v>570</v>
      </c>
      <c r="C37" s="15" t="s">
        <v>579</v>
      </c>
      <c r="D37" s="16" t="s">
        <v>580</v>
      </c>
      <c r="E37" s="17">
        <v>2</v>
      </c>
      <c r="F37" s="18" t="s">
        <v>514</v>
      </c>
      <c r="G37" s="16"/>
      <c r="H37" s="16"/>
    </row>
    <row r="38" spans="1:8" ht="18" customHeight="1" x14ac:dyDescent="0.2">
      <c r="A38" s="13" t="s">
        <v>581</v>
      </c>
      <c r="B38" s="13" t="s">
        <v>582</v>
      </c>
      <c r="C38" s="13"/>
      <c r="D38" s="13"/>
      <c r="E38" s="13"/>
      <c r="F38" s="13"/>
      <c r="G38" s="13"/>
      <c r="H38" s="13"/>
    </row>
    <row r="39" spans="1:8" ht="30" hidden="1" customHeight="1" x14ac:dyDescent="0.2">
      <c r="A39" s="14" t="s">
        <v>581</v>
      </c>
      <c r="B39" s="14" t="s">
        <v>582</v>
      </c>
      <c r="C39" s="15" t="s">
        <v>583</v>
      </c>
      <c r="D39" s="16" t="s">
        <v>584</v>
      </c>
      <c r="E39" s="17">
        <v>2</v>
      </c>
      <c r="F39" s="18" t="s">
        <v>514</v>
      </c>
      <c r="G39" s="16"/>
      <c r="H39" s="16"/>
    </row>
    <row r="40" spans="1:8" ht="30" hidden="1" customHeight="1" x14ac:dyDescent="0.2">
      <c r="A40" s="19" t="s">
        <v>581</v>
      </c>
      <c r="B40" s="19" t="s">
        <v>582</v>
      </c>
      <c r="C40" s="20" t="s">
        <v>585</v>
      </c>
      <c r="D40" s="21" t="s">
        <v>586</v>
      </c>
      <c r="E40" s="17">
        <v>2</v>
      </c>
      <c r="F40" s="18" t="s">
        <v>514</v>
      </c>
      <c r="G40" s="21"/>
      <c r="H40" s="21"/>
    </row>
    <row r="41" spans="1:8" ht="18" customHeight="1" x14ac:dyDescent="0.2">
      <c r="A41" s="13" t="s">
        <v>587</v>
      </c>
      <c r="B41" s="13" t="s">
        <v>588</v>
      </c>
      <c r="C41" s="13"/>
      <c r="D41" s="13"/>
      <c r="E41" s="13"/>
      <c r="F41" s="13"/>
      <c r="G41" s="13"/>
      <c r="H41" s="13"/>
    </row>
    <row r="42" spans="1:8" ht="30" hidden="1" customHeight="1" x14ac:dyDescent="0.2">
      <c r="A42" s="14" t="s">
        <v>587</v>
      </c>
      <c r="B42" s="14" t="s">
        <v>588</v>
      </c>
      <c r="C42" s="15" t="s">
        <v>589</v>
      </c>
      <c r="D42" s="16" t="s">
        <v>590</v>
      </c>
      <c r="E42" s="17">
        <v>2</v>
      </c>
      <c r="F42" s="18" t="s">
        <v>514</v>
      </c>
      <c r="G42" s="16"/>
      <c r="H42" s="16"/>
    </row>
    <row r="43" spans="1:8" ht="30" hidden="1" customHeight="1" x14ac:dyDescent="0.2">
      <c r="A43" s="19" t="s">
        <v>587</v>
      </c>
      <c r="B43" s="19" t="s">
        <v>588</v>
      </c>
      <c r="C43" s="20" t="s">
        <v>591</v>
      </c>
      <c r="D43" s="21" t="s">
        <v>592</v>
      </c>
      <c r="E43" s="17">
        <v>2</v>
      </c>
      <c r="F43" s="18" t="s">
        <v>514</v>
      </c>
      <c r="G43" s="21"/>
      <c r="H43" s="21"/>
    </row>
    <row r="44" spans="1:8" ht="1" hidden="1" customHeight="1" x14ac:dyDescent="0.2">
      <c r="A44" s="14" t="s">
        <v>587</v>
      </c>
      <c r="B44" s="14" t="s">
        <v>588</v>
      </c>
      <c r="C44" s="15" t="s">
        <v>593</v>
      </c>
      <c r="D44" s="16" t="s">
        <v>594</v>
      </c>
      <c r="E44" s="17">
        <v>2</v>
      </c>
      <c r="F44" s="18" t="s">
        <v>514</v>
      </c>
      <c r="G44" s="16"/>
      <c r="H44" s="16"/>
    </row>
  </sheetData>
  <autoFilter ref="F1:F44" xr:uid="{00000000-0001-0000-0A00-000000000000}">
    <filterColumn colId="0">
      <filters blank="1">
        <filter val="Not Started"/>
      </filters>
    </filterColumn>
  </autoFilter>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dimension ref="A1:H32"/>
  <sheetViews>
    <sheetView zoomScale="150" zoomScaleNormal="75" workbookViewId="0">
      <pane ySplit="1" topLeftCell="A2" activePane="bottomLeft" state="frozen"/>
      <selection pane="bottomLeft" activeCell="D37" sqref="D3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595</v>
      </c>
      <c r="B2" s="13" t="s">
        <v>596</v>
      </c>
      <c r="C2" s="13"/>
      <c r="D2" s="13"/>
      <c r="E2" s="13"/>
      <c r="F2" s="13"/>
      <c r="G2" s="13"/>
      <c r="H2" s="13"/>
    </row>
    <row r="3" spans="1:8" ht="59" customHeight="1" x14ac:dyDescent="0.2">
      <c r="A3" s="14" t="s">
        <v>595</v>
      </c>
      <c r="B3" s="14" t="s">
        <v>596</v>
      </c>
      <c r="C3" s="15" t="s">
        <v>597</v>
      </c>
      <c r="D3" s="16" t="s">
        <v>598</v>
      </c>
      <c r="E3" s="17">
        <v>2</v>
      </c>
      <c r="F3" s="18" t="s">
        <v>45</v>
      </c>
      <c r="G3" s="16" t="s">
        <v>938</v>
      </c>
      <c r="H3" s="16"/>
    </row>
    <row r="4" spans="1:8" ht="61" customHeight="1" x14ac:dyDescent="0.2">
      <c r="A4" s="19" t="s">
        <v>595</v>
      </c>
      <c r="B4" s="19" t="s">
        <v>596</v>
      </c>
      <c r="C4" s="20" t="s">
        <v>599</v>
      </c>
      <c r="D4" s="21" t="s">
        <v>600</v>
      </c>
      <c r="E4" s="17">
        <v>2</v>
      </c>
      <c r="F4" s="18" t="s">
        <v>45</v>
      </c>
      <c r="G4" s="21" t="s">
        <v>939</v>
      </c>
      <c r="H4" s="21"/>
    </row>
    <row r="5" spans="1:8" ht="45" customHeight="1" x14ac:dyDescent="0.2">
      <c r="A5" s="14" t="s">
        <v>595</v>
      </c>
      <c r="B5" s="14" t="s">
        <v>596</v>
      </c>
      <c r="C5" s="15" t="s">
        <v>601</v>
      </c>
      <c r="D5" s="16" t="s">
        <v>602</v>
      </c>
      <c r="E5" s="23">
        <v>3</v>
      </c>
      <c r="F5" s="18" t="s">
        <v>45</v>
      </c>
      <c r="G5" s="16" t="s">
        <v>940</v>
      </c>
      <c r="H5" s="16"/>
    </row>
    <row r="6" spans="1:8" ht="62" customHeight="1" x14ac:dyDescent="0.2">
      <c r="A6" s="19" t="s">
        <v>595</v>
      </c>
      <c r="B6" s="19" t="s">
        <v>596</v>
      </c>
      <c r="C6" s="20" t="s">
        <v>603</v>
      </c>
      <c r="D6" s="21" t="s">
        <v>604</v>
      </c>
      <c r="E6" s="23">
        <v>3</v>
      </c>
      <c r="F6" s="18" t="s">
        <v>45</v>
      </c>
      <c r="G6" s="21" t="s">
        <v>941</v>
      </c>
      <c r="H6" s="21"/>
    </row>
    <row r="7" spans="1:8" ht="18" customHeight="1" x14ac:dyDescent="0.2">
      <c r="A7" s="13" t="s">
        <v>605</v>
      </c>
      <c r="B7" s="13" t="s">
        <v>606</v>
      </c>
      <c r="C7" s="13"/>
      <c r="D7" s="13"/>
      <c r="E7" s="13"/>
      <c r="F7" s="13"/>
      <c r="G7" s="13"/>
      <c r="H7" s="13"/>
    </row>
    <row r="8" spans="1:8" ht="63" customHeight="1" x14ac:dyDescent="0.2">
      <c r="A8" s="14" t="s">
        <v>605</v>
      </c>
      <c r="B8" s="14" t="s">
        <v>606</v>
      </c>
      <c r="C8" s="15" t="s">
        <v>607</v>
      </c>
      <c r="D8" s="16" t="s">
        <v>608</v>
      </c>
      <c r="E8" s="17">
        <v>2</v>
      </c>
      <c r="F8" s="18" t="s">
        <v>45</v>
      </c>
      <c r="G8" s="16" t="s">
        <v>942</v>
      </c>
      <c r="H8" s="16"/>
    </row>
    <row r="9" spans="1:8" ht="52" customHeight="1" x14ac:dyDescent="0.2">
      <c r="A9" s="19" t="s">
        <v>605</v>
      </c>
      <c r="B9" s="19" t="s">
        <v>606</v>
      </c>
      <c r="C9" s="20" t="s">
        <v>609</v>
      </c>
      <c r="D9" s="21" t="s">
        <v>610</v>
      </c>
      <c r="E9" s="17">
        <v>2</v>
      </c>
      <c r="F9" s="18" t="s">
        <v>45</v>
      </c>
      <c r="G9" s="21" t="s">
        <v>943</v>
      </c>
      <c r="H9" s="21"/>
    </row>
    <row r="10" spans="1:8" ht="48" customHeight="1" x14ac:dyDescent="0.2">
      <c r="A10" s="14" t="s">
        <v>605</v>
      </c>
      <c r="B10" s="14" t="s">
        <v>606</v>
      </c>
      <c r="C10" s="15" t="s">
        <v>611</v>
      </c>
      <c r="D10" s="16" t="s">
        <v>612</v>
      </c>
      <c r="E10" s="17">
        <v>2</v>
      </c>
      <c r="F10" s="18" t="s">
        <v>45</v>
      </c>
      <c r="G10" s="16" t="s">
        <v>944</v>
      </c>
      <c r="H10" s="16"/>
    </row>
    <row r="11" spans="1:8" ht="48" x14ac:dyDescent="0.2">
      <c r="A11" s="19" t="s">
        <v>605</v>
      </c>
      <c r="B11" s="19" t="s">
        <v>606</v>
      </c>
      <c r="C11" s="20" t="s">
        <v>613</v>
      </c>
      <c r="D11" s="21" t="s">
        <v>614</v>
      </c>
      <c r="E11" s="23">
        <v>3</v>
      </c>
      <c r="F11" s="18" t="s">
        <v>45</v>
      </c>
      <c r="G11" s="21" t="s">
        <v>945</v>
      </c>
      <c r="H11" s="21"/>
    </row>
    <row r="12" spans="1:8" ht="48" x14ac:dyDescent="0.2">
      <c r="A12" s="14" t="s">
        <v>605</v>
      </c>
      <c r="B12" s="14" t="s">
        <v>606</v>
      </c>
      <c r="C12" s="15" t="s">
        <v>615</v>
      </c>
      <c r="D12" s="16" t="s">
        <v>616</v>
      </c>
      <c r="E12" s="23">
        <v>3</v>
      </c>
      <c r="F12" s="18" t="s">
        <v>45</v>
      </c>
      <c r="G12" s="16" t="s">
        <v>948</v>
      </c>
      <c r="H12" s="16"/>
    </row>
    <row r="13" spans="1:8" ht="18" customHeight="1" x14ac:dyDescent="0.2">
      <c r="A13" s="13" t="s">
        <v>617</v>
      </c>
      <c r="B13" s="13" t="s">
        <v>618</v>
      </c>
      <c r="C13" s="13"/>
      <c r="D13" s="13"/>
      <c r="E13" s="13"/>
      <c r="F13" s="13"/>
      <c r="G13" s="13"/>
      <c r="H13" s="13"/>
    </row>
    <row r="14" spans="1:8" ht="49" customHeight="1" x14ac:dyDescent="0.2">
      <c r="A14" s="14" t="s">
        <v>617</v>
      </c>
      <c r="B14" s="14" t="s">
        <v>618</v>
      </c>
      <c r="C14" s="15" t="s">
        <v>619</v>
      </c>
      <c r="D14" s="16" t="s">
        <v>620</v>
      </c>
      <c r="E14" s="22">
        <v>1</v>
      </c>
      <c r="F14" s="18" t="s">
        <v>45</v>
      </c>
      <c r="G14" s="16" t="s">
        <v>949</v>
      </c>
      <c r="H14" s="16"/>
    </row>
    <row r="15" spans="1:8" ht="30" customHeight="1" x14ac:dyDescent="0.2">
      <c r="A15" s="19" t="s">
        <v>617</v>
      </c>
      <c r="B15" s="19" t="s">
        <v>618</v>
      </c>
      <c r="C15" s="20" t="s">
        <v>621</v>
      </c>
      <c r="D15" s="21" t="s">
        <v>622</v>
      </c>
      <c r="E15" s="22">
        <v>1</v>
      </c>
      <c r="F15" s="18" t="s">
        <v>45</v>
      </c>
      <c r="G15" s="21" t="s">
        <v>951</v>
      </c>
      <c r="H15" s="21"/>
    </row>
    <row r="16" spans="1:8" ht="49" customHeight="1" x14ac:dyDescent="0.2">
      <c r="A16" s="14" t="s">
        <v>617</v>
      </c>
      <c r="B16" s="14" t="s">
        <v>618</v>
      </c>
      <c r="C16" s="15" t="s">
        <v>623</v>
      </c>
      <c r="D16" s="16" t="s">
        <v>624</v>
      </c>
      <c r="E16" s="17">
        <v>2</v>
      </c>
      <c r="F16" s="18" t="s">
        <v>45</v>
      </c>
      <c r="G16" s="16" t="s">
        <v>952</v>
      </c>
      <c r="H16" s="16"/>
    </row>
    <row r="17" spans="1:8" ht="30" customHeight="1" x14ac:dyDescent="0.2">
      <c r="A17" s="19" t="s">
        <v>617</v>
      </c>
      <c r="B17" s="19" t="s">
        <v>618</v>
      </c>
      <c r="C17" s="20" t="s">
        <v>625</v>
      </c>
      <c r="D17" s="21" t="s">
        <v>626</v>
      </c>
      <c r="E17" s="23">
        <v>3</v>
      </c>
      <c r="F17" s="18" t="s">
        <v>45</v>
      </c>
      <c r="G17" s="21" t="s">
        <v>956</v>
      </c>
      <c r="H17" s="21"/>
    </row>
    <row r="18" spans="1:8" ht="69" customHeight="1" x14ac:dyDescent="0.2">
      <c r="A18" s="14" t="s">
        <v>617</v>
      </c>
      <c r="B18" s="14" t="s">
        <v>618</v>
      </c>
      <c r="C18" s="15" t="s">
        <v>627</v>
      </c>
      <c r="D18" s="16" t="s">
        <v>628</v>
      </c>
      <c r="E18" s="23">
        <v>3</v>
      </c>
      <c r="F18" s="18" t="s">
        <v>45</v>
      </c>
      <c r="G18" s="16" t="s">
        <v>957</v>
      </c>
      <c r="H18" s="16"/>
    </row>
    <row r="19" spans="1:8" ht="20" customHeight="1" x14ac:dyDescent="0.2">
      <c r="A19" s="13" t="s">
        <v>629</v>
      </c>
      <c r="B19" s="13" t="s">
        <v>630</v>
      </c>
      <c r="C19" s="13"/>
      <c r="D19" s="13"/>
      <c r="E19" s="13"/>
      <c r="F19" s="13"/>
      <c r="G19" s="13"/>
      <c r="H19" s="13"/>
    </row>
    <row r="20" spans="1:8" ht="53" customHeight="1" x14ac:dyDescent="0.2">
      <c r="A20" s="14" t="s">
        <v>629</v>
      </c>
      <c r="B20" s="14" t="s">
        <v>630</v>
      </c>
      <c r="C20" s="15" t="s">
        <v>631</v>
      </c>
      <c r="D20" s="16" t="s">
        <v>632</v>
      </c>
      <c r="E20" s="22">
        <v>1</v>
      </c>
      <c r="F20" s="18" t="s">
        <v>45</v>
      </c>
      <c r="G20" s="16" t="s">
        <v>961</v>
      </c>
      <c r="H20" s="16"/>
    </row>
    <row r="21" spans="1:8" ht="30" customHeight="1" x14ac:dyDescent="0.2">
      <c r="A21" s="19" t="s">
        <v>629</v>
      </c>
      <c r="B21" s="19" t="s">
        <v>630</v>
      </c>
      <c r="C21" s="20" t="s">
        <v>633</v>
      </c>
      <c r="D21" s="21" t="s">
        <v>634</v>
      </c>
      <c r="E21" s="17">
        <v>2</v>
      </c>
      <c r="F21" s="18" t="s">
        <v>45</v>
      </c>
      <c r="G21" s="21" t="s">
        <v>962</v>
      </c>
      <c r="H21" s="21"/>
    </row>
    <row r="22" spans="1:8" ht="38" customHeight="1" x14ac:dyDescent="0.2">
      <c r="A22" s="14" t="s">
        <v>629</v>
      </c>
      <c r="B22" s="14" t="s">
        <v>630</v>
      </c>
      <c r="C22" s="15" t="s">
        <v>635</v>
      </c>
      <c r="D22" s="16" t="s">
        <v>636</v>
      </c>
      <c r="E22" s="17">
        <v>2</v>
      </c>
      <c r="F22" s="18" t="s">
        <v>45</v>
      </c>
      <c r="G22" s="16" t="s">
        <v>963</v>
      </c>
      <c r="H22" s="16"/>
    </row>
    <row r="23" spans="1:8" ht="35" customHeight="1" x14ac:dyDescent="0.2">
      <c r="A23" s="19" t="s">
        <v>629</v>
      </c>
      <c r="B23" s="19" t="s">
        <v>630</v>
      </c>
      <c r="C23" s="20" t="s">
        <v>637</v>
      </c>
      <c r="D23" s="21" t="s">
        <v>638</v>
      </c>
      <c r="E23" s="17">
        <v>2</v>
      </c>
      <c r="F23" s="18" t="s">
        <v>45</v>
      </c>
      <c r="G23" s="21" t="s">
        <v>964</v>
      </c>
      <c r="H23" s="21"/>
    </row>
    <row r="24" spans="1:8" ht="18" customHeight="1" x14ac:dyDescent="0.2">
      <c r="A24" s="13" t="s">
        <v>639</v>
      </c>
      <c r="B24" s="13" t="s">
        <v>640</v>
      </c>
      <c r="C24" s="13"/>
      <c r="D24" s="13"/>
      <c r="E24" s="13"/>
      <c r="F24" s="13"/>
      <c r="G24" s="13"/>
      <c r="H24" s="13"/>
    </row>
    <row r="25" spans="1:8" ht="48" customHeight="1" x14ac:dyDescent="0.2">
      <c r="A25" s="14" t="s">
        <v>639</v>
      </c>
      <c r="B25" s="14" t="s">
        <v>640</v>
      </c>
      <c r="C25" s="15" t="s">
        <v>641</v>
      </c>
      <c r="D25" s="16" t="s">
        <v>642</v>
      </c>
      <c r="E25" s="17">
        <v>2</v>
      </c>
      <c r="F25" s="18" t="s">
        <v>45</v>
      </c>
      <c r="G25" s="16" t="s">
        <v>965</v>
      </c>
      <c r="H25" s="16"/>
    </row>
    <row r="26" spans="1:8" ht="36" customHeight="1" x14ac:dyDescent="0.2">
      <c r="A26" s="19" t="s">
        <v>639</v>
      </c>
      <c r="B26" s="19" t="s">
        <v>640</v>
      </c>
      <c r="C26" s="20" t="s">
        <v>643</v>
      </c>
      <c r="D26" s="21" t="s">
        <v>644</v>
      </c>
      <c r="E26" s="23">
        <v>3</v>
      </c>
      <c r="F26" s="18" t="s">
        <v>45</v>
      </c>
      <c r="G26" s="21" t="s">
        <v>966</v>
      </c>
      <c r="H26" s="21"/>
    </row>
    <row r="27" spans="1:8" ht="18" customHeight="1" x14ac:dyDescent="0.2">
      <c r="A27" s="13" t="s">
        <v>645</v>
      </c>
      <c r="B27" s="13" t="s">
        <v>646</v>
      </c>
      <c r="C27" s="13"/>
      <c r="D27" s="13"/>
      <c r="E27" s="13"/>
      <c r="F27" s="13"/>
      <c r="G27" s="13"/>
      <c r="H27" s="13"/>
    </row>
    <row r="28" spans="1:8" ht="42" customHeight="1" x14ac:dyDescent="0.2">
      <c r="A28" s="14" t="s">
        <v>645</v>
      </c>
      <c r="B28" s="14" t="s">
        <v>646</v>
      </c>
      <c r="C28" s="15" t="s">
        <v>647</v>
      </c>
      <c r="D28" s="16" t="s">
        <v>648</v>
      </c>
      <c r="E28" s="17">
        <v>2</v>
      </c>
      <c r="F28" s="18" t="s">
        <v>45</v>
      </c>
      <c r="G28" s="16" t="s">
        <v>968</v>
      </c>
      <c r="H28" s="16"/>
    </row>
    <row r="29" spans="1:8" ht="30" hidden="1" customHeight="1" x14ac:dyDescent="0.2">
      <c r="A29" s="19" t="s">
        <v>645</v>
      </c>
      <c r="B29" s="19" t="s">
        <v>646</v>
      </c>
      <c r="C29" s="20" t="s">
        <v>649</v>
      </c>
      <c r="D29" s="21" t="s">
        <v>650</v>
      </c>
      <c r="E29" s="23">
        <v>3</v>
      </c>
      <c r="F29" s="18" t="s">
        <v>514</v>
      </c>
      <c r="G29" s="21"/>
      <c r="H29" s="21"/>
    </row>
    <row r="30" spans="1:8" ht="18" customHeight="1" x14ac:dyDescent="0.2">
      <c r="A30" s="13" t="s">
        <v>651</v>
      </c>
      <c r="B30" s="13" t="s">
        <v>652</v>
      </c>
      <c r="C30" s="13"/>
      <c r="D30" s="13"/>
      <c r="E30" s="13"/>
      <c r="F30" s="13"/>
      <c r="G30" s="13"/>
      <c r="H30" s="13"/>
    </row>
    <row r="31" spans="1:8" ht="30" hidden="1" customHeight="1" x14ac:dyDescent="0.2">
      <c r="A31" s="14" t="s">
        <v>651</v>
      </c>
      <c r="B31" s="14" t="s">
        <v>652</v>
      </c>
      <c r="C31" s="15" t="s">
        <v>653</v>
      </c>
      <c r="D31" s="16" t="s">
        <v>654</v>
      </c>
      <c r="E31" s="23">
        <v>3</v>
      </c>
      <c r="F31" s="18" t="s">
        <v>514</v>
      </c>
      <c r="G31" s="16"/>
      <c r="H31" s="16"/>
    </row>
    <row r="32" spans="1:8" ht="51" customHeight="1" x14ac:dyDescent="0.2">
      <c r="A32" s="19" t="s">
        <v>651</v>
      </c>
      <c r="B32" s="19" t="s">
        <v>652</v>
      </c>
      <c r="C32" s="20" t="s">
        <v>655</v>
      </c>
      <c r="D32" s="21" t="s">
        <v>656</v>
      </c>
      <c r="E32" s="23">
        <v>3</v>
      </c>
      <c r="F32" s="18" t="s">
        <v>45</v>
      </c>
      <c r="G32" s="21" t="s">
        <v>969</v>
      </c>
      <c r="H32" s="21"/>
    </row>
  </sheetData>
  <autoFilter ref="F1:F32" xr:uid="{00000000-0001-0000-0B00-000000000000}">
    <filterColumn colId="0">
      <filters blank="1">
        <filter val="Not Started"/>
      </filters>
    </filterColumn>
  </autoFilter>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dimension ref="A1:H16"/>
  <sheetViews>
    <sheetView zoomScale="115" zoomScaleNormal="75" workbookViewId="0">
      <pane ySplit="1" topLeftCell="A2" activePane="bottomLeft" state="frozen"/>
      <selection pane="bottomLeft" activeCell="D19" sqref="D1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657</v>
      </c>
      <c r="B2" s="13" t="s">
        <v>658</v>
      </c>
      <c r="C2" s="13"/>
      <c r="D2" s="13"/>
      <c r="E2" s="13"/>
      <c r="F2" s="13"/>
      <c r="G2" s="13"/>
      <c r="H2" s="13"/>
    </row>
    <row r="3" spans="1:8" ht="30" customHeight="1" x14ac:dyDescent="0.2">
      <c r="A3" s="14" t="s">
        <v>657</v>
      </c>
      <c r="B3" s="14" t="s">
        <v>658</v>
      </c>
      <c r="C3" s="15" t="s">
        <v>659</v>
      </c>
      <c r="D3" s="16" t="s">
        <v>660</v>
      </c>
      <c r="E3" s="22">
        <v>1</v>
      </c>
      <c r="F3" s="18" t="s">
        <v>45</v>
      </c>
      <c r="G3" s="16" t="s">
        <v>972</v>
      </c>
      <c r="H3" s="16"/>
    </row>
    <row r="4" spans="1:8" ht="30" customHeight="1" x14ac:dyDescent="0.2">
      <c r="A4" s="19" t="s">
        <v>657</v>
      </c>
      <c r="B4" s="19" t="s">
        <v>658</v>
      </c>
      <c r="C4" s="20" t="s">
        <v>661</v>
      </c>
      <c r="D4" s="21" t="s">
        <v>662</v>
      </c>
      <c r="E4" s="17">
        <v>2</v>
      </c>
      <c r="F4" s="18" t="s">
        <v>45</v>
      </c>
      <c r="G4" s="21" t="s">
        <v>973</v>
      </c>
      <c r="H4" s="21"/>
    </row>
    <row r="5" spans="1:8" ht="30" hidden="1" customHeight="1" x14ac:dyDescent="0.2">
      <c r="A5" s="14" t="s">
        <v>657</v>
      </c>
      <c r="B5" s="14" t="s">
        <v>658</v>
      </c>
      <c r="C5" s="15" t="s">
        <v>663</v>
      </c>
      <c r="D5" s="16" t="s">
        <v>664</v>
      </c>
      <c r="E5" s="17">
        <v>2</v>
      </c>
      <c r="F5" s="18" t="s">
        <v>514</v>
      </c>
      <c r="G5" s="16"/>
      <c r="H5" s="16"/>
    </row>
    <row r="6" spans="1:8" ht="30" customHeight="1" x14ac:dyDescent="0.2">
      <c r="A6" s="19" t="s">
        <v>657</v>
      </c>
      <c r="B6" s="19" t="s">
        <v>658</v>
      </c>
      <c r="C6" s="20" t="s">
        <v>665</v>
      </c>
      <c r="D6" s="21" t="s">
        <v>666</v>
      </c>
      <c r="E6" s="23">
        <v>3</v>
      </c>
      <c r="F6" s="18" t="s">
        <v>45</v>
      </c>
      <c r="G6" s="21" t="s">
        <v>975</v>
      </c>
      <c r="H6" s="21"/>
    </row>
    <row r="7" spans="1:8" ht="30" hidden="1" customHeight="1" x14ac:dyDescent="0.2">
      <c r="A7" s="14" t="s">
        <v>657</v>
      </c>
      <c r="B7" s="14" t="s">
        <v>658</v>
      </c>
      <c r="C7" s="15" t="s">
        <v>667</v>
      </c>
      <c r="D7" s="16" t="s">
        <v>668</v>
      </c>
      <c r="E7" s="23">
        <v>3</v>
      </c>
      <c r="F7" s="18" t="s">
        <v>514</v>
      </c>
      <c r="G7" s="16"/>
      <c r="H7" s="16"/>
    </row>
    <row r="8" spans="1:8" ht="18" customHeight="1" x14ac:dyDescent="0.2">
      <c r="A8" s="13" t="s">
        <v>669</v>
      </c>
      <c r="B8" s="13" t="s">
        <v>670</v>
      </c>
      <c r="C8" s="13"/>
      <c r="D8" s="13"/>
      <c r="E8" s="13"/>
      <c r="F8" s="13"/>
      <c r="G8" s="13"/>
      <c r="H8" s="13"/>
    </row>
    <row r="9" spans="1:8" ht="30" customHeight="1" x14ac:dyDescent="0.2">
      <c r="A9" s="14" t="s">
        <v>669</v>
      </c>
      <c r="B9" s="14" t="s">
        <v>670</v>
      </c>
      <c r="C9" s="15" t="s">
        <v>671</v>
      </c>
      <c r="D9" s="16" t="s">
        <v>672</v>
      </c>
      <c r="E9" s="22">
        <v>1</v>
      </c>
      <c r="F9" s="18" t="s">
        <v>45</v>
      </c>
      <c r="G9" s="16" t="s">
        <v>976</v>
      </c>
      <c r="H9" s="16"/>
    </row>
    <row r="10" spans="1:8" ht="51" customHeight="1" x14ac:dyDescent="0.2">
      <c r="A10" s="19" t="s">
        <v>669</v>
      </c>
      <c r="B10" s="19" t="s">
        <v>670</v>
      </c>
      <c r="C10" s="20" t="s">
        <v>673</v>
      </c>
      <c r="D10" s="21" t="s">
        <v>674</v>
      </c>
      <c r="E10" s="22">
        <v>1</v>
      </c>
      <c r="F10" s="18" t="s">
        <v>45</v>
      </c>
      <c r="G10" s="21" t="s">
        <v>977</v>
      </c>
      <c r="H10" s="21"/>
    </row>
    <row r="11" spans="1:8" ht="18" customHeight="1" x14ac:dyDescent="0.2">
      <c r="A11" s="13" t="s">
        <v>675</v>
      </c>
      <c r="B11" s="13" t="s">
        <v>676</v>
      </c>
      <c r="C11" s="13"/>
      <c r="D11" s="13"/>
      <c r="E11" s="13"/>
      <c r="F11" s="13"/>
      <c r="G11" s="13"/>
      <c r="H11" s="13"/>
    </row>
    <row r="12" spans="1:8" ht="30" customHeight="1" x14ac:dyDescent="0.2">
      <c r="A12" s="14" t="s">
        <v>675</v>
      </c>
      <c r="B12" s="14" t="s">
        <v>676</v>
      </c>
      <c r="C12" s="15" t="s">
        <v>677</v>
      </c>
      <c r="D12" s="16" t="s">
        <v>678</v>
      </c>
      <c r="E12" s="17">
        <v>2</v>
      </c>
      <c r="F12" s="18" t="s">
        <v>45</v>
      </c>
      <c r="G12" s="16" t="s">
        <v>978</v>
      </c>
      <c r="H12" s="16"/>
    </row>
    <row r="13" spans="1:8" ht="50" customHeight="1" x14ac:dyDescent="0.2">
      <c r="A13" s="19" t="s">
        <v>675</v>
      </c>
      <c r="B13" s="19" t="s">
        <v>676</v>
      </c>
      <c r="C13" s="20" t="s">
        <v>679</v>
      </c>
      <c r="D13" s="21" t="s">
        <v>680</v>
      </c>
      <c r="E13" s="17">
        <v>2</v>
      </c>
      <c r="F13" s="18" t="s">
        <v>45</v>
      </c>
      <c r="G13" s="21" t="s">
        <v>979</v>
      </c>
      <c r="H13" s="21"/>
    </row>
    <row r="14" spans="1:8" ht="48" customHeight="1" x14ac:dyDescent="0.2">
      <c r="A14" s="14" t="s">
        <v>675</v>
      </c>
      <c r="B14" s="14" t="s">
        <v>676</v>
      </c>
      <c r="C14" s="15" t="s">
        <v>681</v>
      </c>
      <c r="D14" s="16" t="s">
        <v>682</v>
      </c>
      <c r="E14" s="17">
        <v>2</v>
      </c>
      <c r="F14" s="18" t="s">
        <v>45</v>
      </c>
      <c r="G14" s="16" t="s">
        <v>980</v>
      </c>
      <c r="H14" s="16"/>
    </row>
    <row r="15" spans="1:8" ht="39" customHeight="1" x14ac:dyDescent="0.2">
      <c r="A15" s="19" t="s">
        <v>675</v>
      </c>
      <c r="B15" s="19" t="s">
        <v>676</v>
      </c>
      <c r="C15" s="20" t="s">
        <v>683</v>
      </c>
      <c r="D15" s="21" t="s">
        <v>684</v>
      </c>
      <c r="E15" s="17">
        <v>2</v>
      </c>
      <c r="F15" s="18" t="s">
        <v>45</v>
      </c>
      <c r="G15" s="21" t="s">
        <v>981</v>
      </c>
      <c r="H15" s="21"/>
    </row>
    <row r="16" spans="1:8" ht="37" customHeight="1" x14ac:dyDescent="0.2">
      <c r="A16" s="14" t="s">
        <v>675</v>
      </c>
      <c r="B16" s="14" t="s">
        <v>676</v>
      </c>
      <c r="C16" s="15" t="s">
        <v>685</v>
      </c>
      <c r="D16" s="16" t="s">
        <v>686</v>
      </c>
      <c r="E16" s="23">
        <v>3</v>
      </c>
      <c r="F16" s="18" t="s">
        <v>45</v>
      </c>
      <c r="G16" s="16" t="s">
        <v>982</v>
      </c>
      <c r="H16" s="16"/>
    </row>
  </sheetData>
  <autoFilter ref="F1:F16" xr:uid="{00000000-0001-0000-0C00-000000000000}">
    <filterColumn colId="0">
      <filters blank="1">
        <filter val="Not Started"/>
      </filters>
    </filterColumn>
  </autoFilter>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tabSelected="1" zoomScale="125" zoomScaleNormal="75" workbookViewId="0">
      <pane ySplit="1" topLeftCell="A13" activePane="bottomLeft" state="frozen"/>
      <selection pane="bottomLeft" activeCell="F5" sqref="F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687</v>
      </c>
      <c r="B2" s="13" t="s">
        <v>688</v>
      </c>
      <c r="C2" s="13"/>
      <c r="D2" s="13"/>
      <c r="E2" s="13"/>
      <c r="F2" s="13"/>
      <c r="G2" s="13"/>
      <c r="H2" s="13"/>
    </row>
    <row r="3" spans="1:8" ht="30" customHeight="1" x14ac:dyDescent="0.2">
      <c r="A3" s="14" t="s">
        <v>687</v>
      </c>
      <c r="B3" s="14" t="s">
        <v>688</v>
      </c>
      <c r="C3" s="15" t="s">
        <v>689</v>
      </c>
      <c r="D3" s="16" t="s">
        <v>690</v>
      </c>
      <c r="E3" s="17">
        <v>2</v>
      </c>
      <c r="F3" s="18" t="s">
        <v>741</v>
      </c>
      <c r="G3" s="16" t="s">
        <v>983</v>
      </c>
      <c r="H3" s="16"/>
    </row>
    <row r="4" spans="1:8" ht="45" customHeight="1" x14ac:dyDescent="0.2">
      <c r="A4" s="19" t="s">
        <v>687</v>
      </c>
      <c r="B4" s="19" t="s">
        <v>688</v>
      </c>
      <c r="C4" s="20" t="s">
        <v>691</v>
      </c>
      <c r="D4" s="21" t="s">
        <v>692</v>
      </c>
      <c r="E4" s="23">
        <v>3</v>
      </c>
      <c r="F4" s="18" t="s">
        <v>45</v>
      </c>
      <c r="G4" s="21" t="s">
        <v>984</v>
      </c>
      <c r="H4" s="21"/>
    </row>
    <row r="5" spans="1:8" ht="30" customHeight="1" x14ac:dyDescent="0.2">
      <c r="A5" s="14" t="s">
        <v>687</v>
      </c>
      <c r="B5" s="14" t="s">
        <v>688</v>
      </c>
      <c r="C5" s="15" t="s">
        <v>693</v>
      </c>
      <c r="D5" s="16" t="s">
        <v>694</v>
      </c>
      <c r="E5" s="23">
        <v>3</v>
      </c>
      <c r="F5" s="18" t="s">
        <v>1030</v>
      </c>
      <c r="G5" s="16" t="s">
        <v>987</v>
      </c>
      <c r="H5" s="16"/>
    </row>
    <row r="6" spans="1:8" ht="30" customHeight="1" x14ac:dyDescent="0.2">
      <c r="A6" s="19" t="s">
        <v>687</v>
      </c>
      <c r="B6" s="19" t="s">
        <v>688</v>
      </c>
      <c r="C6" s="20" t="s">
        <v>695</v>
      </c>
      <c r="D6" s="21" t="s">
        <v>696</v>
      </c>
      <c r="E6" s="23">
        <v>3</v>
      </c>
      <c r="F6" s="18" t="s">
        <v>45</v>
      </c>
      <c r="G6" s="21" t="s">
        <v>941</v>
      </c>
      <c r="H6" s="21"/>
    </row>
    <row r="7" spans="1:8" ht="18" customHeight="1" x14ac:dyDescent="0.2">
      <c r="A7" s="13" t="s">
        <v>697</v>
      </c>
      <c r="B7" s="13" t="s">
        <v>698</v>
      </c>
      <c r="C7" s="13"/>
      <c r="D7" s="13"/>
      <c r="E7" s="13"/>
      <c r="F7" s="13"/>
      <c r="G7" s="13"/>
      <c r="H7" s="13"/>
    </row>
    <row r="8" spans="1:8" ht="50" customHeight="1" x14ac:dyDescent="0.2">
      <c r="A8" s="14" t="s">
        <v>697</v>
      </c>
      <c r="B8" s="14" t="s">
        <v>698</v>
      </c>
      <c r="C8" s="15" t="s">
        <v>699</v>
      </c>
      <c r="D8" s="16" t="s">
        <v>700</v>
      </c>
      <c r="E8" s="17">
        <v>2</v>
      </c>
      <c r="F8" s="18" t="s">
        <v>45</v>
      </c>
      <c r="G8" s="16" t="s">
        <v>988</v>
      </c>
      <c r="H8" s="16"/>
    </row>
    <row r="9" spans="1:8" ht="30" customHeight="1" x14ac:dyDescent="0.2">
      <c r="A9" s="19" t="s">
        <v>697</v>
      </c>
      <c r="B9" s="19" t="s">
        <v>698</v>
      </c>
      <c r="C9" s="20" t="s">
        <v>701</v>
      </c>
      <c r="D9" s="21" t="s">
        <v>702</v>
      </c>
      <c r="E9" s="17">
        <v>2</v>
      </c>
      <c r="F9" s="18" t="s">
        <v>45</v>
      </c>
      <c r="G9" s="21" t="s">
        <v>991</v>
      </c>
      <c r="H9" s="21"/>
    </row>
    <row r="10" spans="1:8" ht="30" customHeight="1" x14ac:dyDescent="0.2">
      <c r="A10" s="14" t="s">
        <v>697</v>
      </c>
      <c r="B10" s="14" t="s">
        <v>698</v>
      </c>
      <c r="C10" s="15" t="s">
        <v>703</v>
      </c>
      <c r="D10" s="16" t="s">
        <v>704</v>
      </c>
      <c r="E10" s="17">
        <v>2</v>
      </c>
      <c r="F10" s="18" t="s">
        <v>45</v>
      </c>
      <c r="G10" s="16" t="s">
        <v>993</v>
      </c>
      <c r="H10" s="16"/>
    </row>
    <row r="11" spans="1:8" ht="30" customHeight="1" x14ac:dyDescent="0.2">
      <c r="A11" s="19" t="s">
        <v>697</v>
      </c>
      <c r="B11" s="19" t="s">
        <v>698</v>
      </c>
      <c r="C11" s="20" t="s">
        <v>705</v>
      </c>
      <c r="D11" s="21" t="s">
        <v>706</v>
      </c>
      <c r="E11" s="17">
        <v>2</v>
      </c>
      <c r="F11" s="18" t="s">
        <v>45</v>
      </c>
      <c r="G11" s="21" t="s">
        <v>994</v>
      </c>
      <c r="H11" s="21"/>
    </row>
    <row r="12" spans="1:8" ht="30" customHeight="1" x14ac:dyDescent="0.2">
      <c r="A12" s="14" t="s">
        <v>697</v>
      </c>
      <c r="B12" s="14" t="s">
        <v>698</v>
      </c>
      <c r="C12" s="15" t="s">
        <v>707</v>
      </c>
      <c r="D12" s="16" t="s">
        <v>708</v>
      </c>
      <c r="E12" s="17">
        <v>2</v>
      </c>
      <c r="F12" s="18" t="s">
        <v>45</v>
      </c>
      <c r="G12" s="16" t="s">
        <v>995</v>
      </c>
      <c r="H12" s="16"/>
    </row>
    <row r="13" spans="1:8" ht="30" customHeight="1" x14ac:dyDescent="0.2">
      <c r="A13" s="19" t="s">
        <v>697</v>
      </c>
      <c r="B13" s="19" t="s">
        <v>698</v>
      </c>
      <c r="C13" s="20" t="s">
        <v>709</v>
      </c>
      <c r="D13" s="21" t="s">
        <v>710</v>
      </c>
      <c r="E13" s="23">
        <v>3</v>
      </c>
      <c r="F13" s="18" t="s">
        <v>45</v>
      </c>
      <c r="G13" s="21" t="s">
        <v>996</v>
      </c>
      <c r="H13" s="21"/>
    </row>
    <row r="14" spans="1:8" ht="18" customHeight="1" x14ac:dyDescent="0.2">
      <c r="A14" s="13" t="s">
        <v>711</v>
      </c>
      <c r="B14" s="13" t="s">
        <v>712</v>
      </c>
      <c r="C14" s="13"/>
      <c r="D14" s="13"/>
      <c r="E14" s="13"/>
      <c r="F14" s="13"/>
      <c r="G14" s="13"/>
      <c r="H14" s="13"/>
    </row>
    <row r="15" spans="1:8" ht="50" customHeight="1" x14ac:dyDescent="0.2">
      <c r="A15" s="14" t="s">
        <v>711</v>
      </c>
      <c r="B15" s="14" t="s">
        <v>712</v>
      </c>
      <c r="C15" s="15" t="s">
        <v>713</v>
      </c>
      <c r="D15" s="16" t="s">
        <v>714</v>
      </c>
      <c r="E15" s="17">
        <v>2</v>
      </c>
      <c r="F15" s="18" t="s">
        <v>45</v>
      </c>
      <c r="G15" s="16" t="s">
        <v>997</v>
      </c>
      <c r="H15" s="16"/>
    </row>
    <row r="16" spans="1:8" ht="30" customHeight="1" x14ac:dyDescent="0.2">
      <c r="A16" s="19" t="s">
        <v>711</v>
      </c>
      <c r="B16" s="19" t="s">
        <v>712</v>
      </c>
      <c r="C16" s="20" t="s">
        <v>715</v>
      </c>
      <c r="D16" s="21" t="s">
        <v>716</v>
      </c>
      <c r="E16" s="17">
        <v>2</v>
      </c>
      <c r="F16" s="18" t="s">
        <v>45</v>
      </c>
      <c r="G16" s="21" t="s">
        <v>1000</v>
      </c>
      <c r="H16" s="21"/>
    </row>
    <row r="17" spans="1:8" ht="48" customHeight="1" x14ac:dyDescent="0.2">
      <c r="A17" s="14" t="s">
        <v>711</v>
      </c>
      <c r="B17" s="14" t="s">
        <v>712</v>
      </c>
      <c r="C17" s="15" t="s">
        <v>717</v>
      </c>
      <c r="D17" s="16" t="s">
        <v>718</v>
      </c>
      <c r="E17" s="23">
        <v>3</v>
      </c>
      <c r="F17" s="18" t="s">
        <v>45</v>
      </c>
      <c r="G17" s="16" t="s">
        <v>1001</v>
      </c>
      <c r="H17" s="16"/>
    </row>
    <row r="18" spans="1:8" ht="30" customHeight="1" x14ac:dyDescent="0.2">
      <c r="A18" s="19" t="s">
        <v>711</v>
      </c>
      <c r="B18" s="19" t="s">
        <v>712</v>
      </c>
      <c r="C18" s="20" t="s">
        <v>719</v>
      </c>
      <c r="D18" s="21" t="s">
        <v>720</v>
      </c>
      <c r="E18" s="23">
        <v>3</v>
      </c>
      <c r="F18" s="18" t="s">
        <v>45</v>
      </c>
      <c r="G18" s="21" t="s">
        <v>1002</v>
      </c>
      <c r="H18" s="21"/>
    </row>
    <row r="19" spans="1:8" ht="18" customHeight="1" x14ac:dyDescent="0.2">
      <c r="A19" s="13" t="s">
        <v>721</v>
      </c>
      <c r="B19" s="13" t="s">
        <v>722</v>
      </c>
      <c r="C19" s="13"/>
      <c r="D19" s="13"/>
      <c r="E19" s="13"/>
      <c r="F19" s="13"/>
      <c r="G19" s="13"/>
      <c r="H19" s="13"/>
    </row>
    <row r="20" spans="1:8" ht="51" customHeight="1" x14ac:dyDescent="0.2">
      <c r="A20" s="14" t="s">
        <v>721</v>
      </c>
      <c r="B20" s="14" t="s">
        <v>722</v>
      </c>
      <c r="C20" s="15" t="s">
        <v>723</v>
      </c>
      <c r="D20" s="16" t="s">
        <v>724</v>
      </c>
      <c r="E20" s="22">
        <v>1</v>
      </c>
      <c r="F20" s="18" t="s">
        <v>45</v>
      </c>
      <c r="G20" s="16" t="s">
        <v>1003</v>
      </c>
      <c r="H20" s="16"/>
    </row>
    <row r="21" spans="1:8" ht="30" customHeight="1" x14ac:dyDescent="0.2">
      <c r="A21" s="19" t="s">
        <v>721</v>
      </c>
      <c r="B21" s="19" t="s">
        <v>722</v>
      </c>
      <c r="C21" s="20" t="s">
        <v>725</v>
      </c>
      <c r="D21" s="21" t="s">
        <v>726</v>
      </c>
      <c r="E21" s="17">
        <v>2</v>
      </c>
      <c r="F21" s="18" t="s">
        <v>45</v>
      </c>
      <c r="G21" s="21" t="s">
        <v>1004</v>
      </c>
      <c r="H21" s="21"/>
    </row>
    <row r="22" spans="1:8" ht="30" customHeight="1" x14ac:dyDescent="0.2">
      <c r="A22" s="14" t="s">
        <v>721</v>
      </c>
      <c r="B22" s="14" t="s">
        <v>722</v>
      </c>
      <c r="C22" s="15" t="s">
        <v>727</v>
      </c>
      <c r="D22" s="16" t="s">
        <v>728</v>
      </c>
      <c r="E22" s="17">
        <v>2</v>
      </c>
      <c r="F22" s="18" t="s">
        <v>45</v>
      </c>
      <c r="G22" s="16" t="s">
        <v>1005</v>
      </c>
      <c r="H22" s="16"/>
    </row>
    <row r="23" spans="1:8" ht="30" customHeight="1" x14ac:dyDescent="0.2">
      <c r="A23" s="19" t="s">
        <v>721</v>
      </c>
      <c r="B23" s="19" t="s">
        <v>722</v>
      </c>
      <c r="C23" s="20" t="s">
        <v>729</v>
      </c>
      <c r="D23" s="21" t="s">
        <v>730</v>
      </c>
      <c r="E23" s="17">
        <v>2</v>
      </c>
      <c r="F23" s="18" t="s">
        <v>45</v>
      </c>
      <c r="G23" s="21" t="s">
        <v>1006</v>
      </c>
      <c r="H23" s="21"/>
    </row>
    <row r="24" spans="1:8" ht="52" customHeight="1" x14ac:dyDescent="0.2">
      <c r="A24" s="14" t="s">
        <v>721</v>
      </c>
      <c r="B24" s="14" t="s">
        <v>722</v>
      </c>
      <c r="C24" s="15" t="s">
        <v>731</v>
      </c>
      <c r="D24" s="16" t="s">
        <v>732</v>
      </c>
      <c r="E24" s="17">
        <v>2</v>
      </c>
      <c r="F24" s="18" t="s">
        <v>45</v>
      </c>
      <c r="G24" s="16" t="s">
        <v>1007</v>
      </c>
      <c r="H24" s="16"/>
    </row>
    <row r="25" spans="1:8" ht="30" customHeight="1" x14ac:dyDescent="0.2">
      <c r="A25" s="19" t="s">
        <v>721</v>
      </c>
      <c r="B25" s="19" t="s">
        <v>722</v>
      </c>
      <c r="C25" s="20" t="s">
        <v>733</v>
      </c>
      <c r="D25" s="21" t="s">
        <v>734</v>
      </c>
      <c r="E25" s="23">
        <v>3</v>
      </c>
      <c r="F25" s="18" t="s">
        <v>45</v>
      </c>
      <c r="G25" s="21" t="s">
        <v>1008</v>
      </c>
      <c r="H25" s="21"/>
    </row>
    <row r="26" spans="1:8" ht="30" customHeight="1" x14ac:dyDescent="0.2">
      <c r="A26" s="14" t="s">
        <v>721</v>
      </c>
      <c r="B26" s="14" t="s">
        <v>722</v>
      </c>
      <c r="C26" s="15" t="s">
        <v>735</v>
      </c>
      <c r="D26" s="16" t="s">
        <v>736</v>
      </c>
      <c r="E26" s="23">
        <v>3</v>
      </c>
      <c r="F26" s="18" t="s">
        <v>45</v>
      </c>
      <c r="G26" s="16" t="s">
        <v>1010</v>
      </c>
      <c r="H26" s="16"/>
    </row>
  </sheetData>
  <autoFilter ref="F1:F26" xr:uid="{00000000-0001-0000-0D00-000000000000}"/>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7"/>
  <sheetViews>
    <sheetView topLeftCell="C1" zoomScale="137" zoomScaleNormal="75" workbookViewId="0">
      <pane ySplit="1" topLeftCell="A2" activePane="bottomLeft" state="frozen"/>
      <selection pane="bottomLeft" activeCell="I3" sqref="I3:M4"/>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13" ht="28" customHeight="1" x14ac:dyDescent="0.2">
      <c r="A1" s="12" t="s">
        <v>33</v>
      </c>
      <c r="B1" s="12" t="s">
        <v>34</v>
      </c>
      <c r="C1" s="12" t="s">
        <v>35</v>
      </c>
      <c r="D1" s="12" t="s">
        <v>36</v>
      </c>
      <c r="E1" s="12" t="s">
        <v>37</v>
      </c>
      <c r="F1" s="12" t="s">
        <v>38</v>
      </c>
      <c r="G1" s="12" t="s">
        <v>39</v>
      </c>
      <c r="H1" s="12" t="s">
        <v>40</v>
      </c>
    </row>
    <row r="2" spans="1:13" ht="18" customHeight="1" x14ac:dyDescent="0.2">
      <c r="A2" s="13" t="s">
        <v>737</v>
      </c>
      <c r="B2" s="13" t="s">
        <v>738</v>
      </c>
      <c r="C2" s="13"/>
      <c r="D2" s="13"/>
      <c r="E2" s="13"/>
      <c r="F2" s="13"/>
      <c r="G2" s="13"/>
      <c r="H2" s="13"/>
    </row>
    <row r="3" spans="1:13" ht="30" customHeight="1" x14ac:dyDescent="0.2">
      <c r="A3" s="14" t="s">
        <v>737</v>
      </c>
      <c r="B3" s="14" t="s">
        <v>738</v>
      </c>
      <c r="C3" s="15" t="s">
        <v>739</v>
      </c>
      <c r="D3" s="16" t="s">
        <v>740</v>
      </c>
      <c r="E3" s="17">
        <v>2</v>
      </c>
      <c r="F3" s="18" t="s">
        <v>741</v>
      </c>
      <c r="G3" s="31" t="s">
        <v>899</v>
      </c>
      <c r="H3" s="16"/>
      <c r="I3" s="32"/>
      <c r="J3" s="33"/>
      <c r="K3" s="33"/>
      <c r="L3" s="33"/>
      <c r="M3" s="33"/>
    </row>
    <row r="4" spans="1:13" ht="30" customHeight="1" x14ac:dyDescent="0.2">
      <c r="A4" s="19" t="s">
        <v>737</v>
      </c>
      <c r="B4" s="19" t="s">
        <v>738</v>
      </c>
      <c r="C4" s="20" t="s">
        <v>742</v>
      </c>
      <c r="D4" s="21" t="s">
        <v>743</v>
      </c>
      <c r="E4" s="17">
        <v>2</v>
      </c>
      <c r="F4" s="18" t="s">
        <v>741</v>
      </c>
      <c r="G4" s="31" t="s">
        <v>901</v>
      </c>
      <c r="H4" s="21"/>
      <c r="I4" s="32"/>
      <c r="J4" s="33"/>
      <c r="K4" s="33"/>
      <c r="L4" s="33"/>
      <c r="M4" s="33"/>
    </row>
    <row r="5" spans="1:13" ht="18" customHeight="1" x14ac:dyDescent="0.2">
      <c r="A5" s="13" t="s">
        <v>744</v>
      </c>
      <c r="B5" s="13" t="s">
        <v>745</v>
      </c>
      <c r="C5" s="13"/>
      <c r="D5" s="13"/>
      <c r="E5" s="13"/>
      <c r="F5" s="13"/>
      <c r="G5" s="29"/>
      <c r="H5" s="13"/>
    </row>
    <row r="6" spans="1:13" ht="30" customHeight="1" x14ac:dyDescent="0.2">
      <c r="A6" s="14" t="s">
        <v>744</v>
      </c>
      <c r="B6" s="14" t="s">
        <v>745</v>
      </c>
      <c r="C6" s="15" t="s">
        <v>746</v>
      </c>
      <c r="D6" s="16" t="s">
        <v>747</v>
      </c>
      <c r="E6" s="22">
        <v>1</v>
      </c>
      <c r="F6" s="18" t="s">
        <v>741</v>
      </c>
      <c r="G6" s="27" t="s">
        <v>903</v>
      </c>
      <c r="H6" s="16"/>
      <c r="I6" s="32"/>
      <c r="J6" s="33"/>
      <c r="K6" s="33"/>
      <c r="L6" s="33"/>
      <c r="M6" s="33"/>
    </row>
    <row r="7" spans="1:13" ht="30" customHeight="1" x14ac:dyDescent="0.2">
      <c r="A7" s="19" t="s">
        <v>744</v>
      </c>
      <c r="B7" s="19" t="s">
        <v>745</v>
      </c>
      <c r="C7" s="20" t="s">
        <v>748</v>
      </c>
      <c r="D7" s="21" t="s">
        <v>749</v>
      </c>
      <c r="E7" s="17">
        <v>2</v>
      </c>
      <c r="F7" s="18" t="s">
        <v>514</v>
      </c>
      <c r="G7" s="31"/>
      <c r="H7" s="21"/>
      <c r="I7" s="41"/>
      <c r="J7" s="42"/>
      <c r="K7" s="42"/>
      <c r="L7" s="42"/>
      <c r="M7" s="42"/>
    </row>
    <row r="8" spans="1:13" ht="30" customHeight="1" x14ac:dyDescent="0.2">
      <c r="A8" s="14" t="s">
        <v>744</v>
      </c>
      <c r="B8" s="14" t="s">
        <v>745</v>
      </c>
      <c r="C8" s="15" t="s">
        <v>750</v>
      </c>
      <c r="D8" s="16" t="s">
        <v>751</v>
      </c>
      <c r="E8" s="17">
        <v>2</v>
      </c>
      <c r="F8" s="18" t="s">
        <v>741</v>
      </c>
      <c r="G8" s="27" t="s">
        <v>906</v>
      </c>
      <c r="H8" s="16"/>
      <c r="I8" s="41"/>
      <c r="J8" s="42"/>
      <c r="K8" s="42"/>
      <c r="L8" s="42"/>
      <c r="M8" s="42"/>
    </row>
    <row r="9" spans="1:13" ht="30" customHeight="1" x14ac:dyDescent="0.2">
      <c r="A9" s="19" t="s">
        <v>744</v>
      </c>
      <c r="B9" s="19" t="s">
        <v>745</v>
      </c>
      <c r="C9" s="20" t="s">
        <v>752</v>
      </c>
      <c r="D9" s="21" t="s">
        <v>753</v>
      </c>
      <c r="E9" s="17">
        <v>2</v>
      </c>
      <c r="F9" s="18" t="s">
        <v>741</v>
      </c>
      <c r="G9" s="31" t="s">
        <v>907</v>
      </c>
      <c r="H9" s="21"/>
      <c r="I9" s="41"/>
      <c r="J9" s="42"/>
      <c r="K9" s="42"/>
      <c r="L9" s="42"/>
      <c r="M9" s="42"/>
    </row>
    <row r="10" spans="1:13" ht="30" customHeight="1" x14ac:dyDescent="0.2">
      <c r="A10" s="14" t="s">
        <v>744</v>
      </c>
      <c r="B10" s="14" t="s">
        <v>745</v>
      </c>
      <c r="C10" s="15" t="s">
        <v>754</v>
      </c>
      <c r="D10" s="16" t="s">
        <v>755</v>
      </c>
      <c r="E10" s="23">
        <v>3</v>
      </c>
      <c r="F10" s="18" t="s">
        <v>514</v>
      </c>
      <c r="G10" s="16"/>
      <c r="H10" s="16"/>
    </row>
    <row r="11" spans="1:13" ht="30" customHeight="1" x14ac:dyDescent="0.2">
      <c r="A11" s="19" t="s">
        <v>744</v>
      </c>
      <c r="B11" s="19" t="s">
        <v>745</v>
      </c>
      <c r="C11" s="20" t="s">
        <v>756</v>
      </c>
      <c r="D11" s="21" t="s">
        <v>757</v>
      </c>
      <c r="E11" s="23">
        <v>3</v>
      </c>
      <c r="F11" s="18" t="s">
        <v>514</v>
      </c>
      <c r="G11" s="21"/>
      <c r="H11" s="21"/>
    </row>
    <row r="12" spans="1:13" ht="30" customHeight="1" x14ac:dyDescent="0.2">
      <c r="A12" s="14" t="s">
        <v>744</v>
      </c>
      <c r="B12" s="14" t="s">
        <v>745</v>
      </c>
      <c r="C12" s="15" t="s">
        <v>758</v>
      </c>
      <c r="D12" s="16" t="s">
        <v>759</v>
      </c>
      <c r="E12" s="23">
        <v>3</v>
      </c>
      <c r="F12" s="18" t="s">
        <v>741</v>
      </c>
      <c r="G12" s="27" t="s">
        <v>910</v>
      </c>
      <c r="H12" s="16"/>
      <c r="I12" s="43"/>
      <c r="J12" s="44"/>
      <c r="K12" s="44"/>
      <c r="L12" s="44"/>
      <c r="M12" s="44"/>
    </row>
    <row r="13" spans="1:13" ht="30" customHeight="1" x14ac:dyDescent="0.2">
      <c r="A13" s="19" t="s">
        <v>744</v>
      </c>
      <c r="B13" s="19" t="s">
        <v>745</v>
      </c>
      <c r="C13" s="20" t="s">
        <v>760</v>
      </c>
      <c r="D13" s="21" t="s">
        <v>761</v>
      </c>
      <c r="E13" s="23">
        <v>3</v>
      </c>
      <c r="F13" s="18" t="s">
        <v>741</v>
      </c>
      <c r="G13" s="31" t="s">
        <v>914</v>
      </c>
      <c r="H13" s="21"/>
      <c r="I13" s="32"/>
      <c r="J13" s="33"/>
      <c r="K13" s="33"/>
      <c r="L13" s="33"/>
      <c r="M13" s="33"/>
    </row>
    <row r="14" spans="1:13" ht="18" customHeight="1" x14ac:dyDescent="0.2">
      <c r="A14" s="13" t="s">
        <v>762</v>
      </c>
      <c r="B14" s="13" t="s">
        <v>763</v>
      </c>
      <c r="C14" s="13"/>
      <c r="D14" s="13"/>
      <c r="E14" s="13"/>
      <c r="F14" s="13"/>
      <c r="G14" s="29"/>
      <c r="H14" s="13"/>
    </row>
    <row r="15" spans="1:13" ht="30" customHeight="1" x14ac:dyDescent="0.2">
      <c r="A15" s="14" t="s">
        <v>762</v>
      </c>
      <c r="B15" s="14" t="s">
        <v>763</v>
      </c>
      <c r="C15" s="15" t="s">
        <v>764</v>
      </c>
      <c r="D15" s="16" t="s">
        <v>765</v>
      </c>
      <c r="E15" s="22">
        <v>1</v>
      </c>
      <c r="F15" s="18" t="s">
        <v>514</v>
      </c>
      <c r="G15" s="16"/>
      <c r="H15" s="16"/>
    </row>
    <row r="16" spans="1:13" ht="30" customHeight="1" x14ac:dyDescent="0.2">
      <c r="A16" s="19" t="s">
        <v>762</v>
      </c>
      <c r="B16" s="19" t="s">
        <v>763</v>
      </c>
      <c r="C16" s="20" t="s">
        <v>766</v>
      </c>
      <c r="D16" s="21" t="s">
        <v>767</v>
      </c>
      <c r="E16" s="17">
        <v>2</v>
      </c>
      <c r="F16" s="18" t="s">
        <v>45</v>
      </c>
      <c r="G16" s="31" t="s">
        <v>917</v>
      </c>
      <c r="H16" s="21"/>
      <c r="I16" s="36"/>
      <c r="J16" s="37"/>
      <c r="K16" s="37"/>
      <c r="L16" s="37"/>
      <c r="M16" s="37"/>
    </row>
    <row r="17" spans="1:8" ht="30" customHeight="1" x14ac:dyDescent="0.2">
      <c r="A17" s="14" t="s">
        <v>762</v>
      </c>
      <c r="B17" s="14" t="s">
        <v>763</v>
      </c>
      <c r="C17" s="15" t="s">
        <v>768</v>
      </c>
      <c r="D17" s="16" t="s">
        <v>769</v>
      </c>
      <c r="E17" s="17">
        <v>2</v>
      </c>
      <c r="F17" s="18" t="s">
        <v>514</v>
      </c>
      <c r="G17" s="16"/>
      <c r="H17" s="16"/>
    </row>
  </sheetData>
  <mergeCells count="8">
    <mergeCell ref="I13:M13"/>
    <mergeCell ref="I16:M16"/>
    <mergeCell ref="I3:M4"/>
    <mergeCell ref="I6:M6"/>
    <mergeCell ref="I7:M7"/>
    <mergeCell ref="I8:M8"/>
    <mergeCell ref="I9:M9"/>
    <mergeCell ref="I12:M12"/>
  </mergeCells>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6"/>
  <sheetViews>
    <sheetView topLeftCell="D1" zoomScale="75" zoomScaleNormal="75" workbookViewId="0">
      <pane ySplit="1" topLeftCell="A7" activePane="bottomLeft" state="frozen"/>
      <selection pane="bottomLeft" activeCell="M28" sqref="M2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12" ht="28" customHeight="1" x14ac:dyDescent="0.2">
      <c r="A1" s="12" t="s">
        <v>33</v>
      </c>
      <c r="B1" s="12" t="s">
        <v>34</v>
      </c>
      <c r="C1" s="12" t="s">
        <v>35</v>
      </c>
      <c r="D1" s="12" t="s">
        <v>36</v>
      </c>
      <c r="E1" s="12" t="s">
        <v>37</v>
      </c>
      <c r="F1" s="12" t="s">
        <v>38</v>
      </c>
      <c r="G1" s="12" t="s">
        <v>39</v>
      </c>
      <c r="H1" s="12" t="s">
        <v>40</v>
      </c>
    </row>
    <row r="2" spans="1:12" ht="18" customHeight="1" x14ac:dyDescent="0.2">
      <c r="A2" s="13" t="s">
        <v>770</v>
      </c>
      <c r="B2" s="13" t="s">
        <v>771</v>
      </c>
      <c r="C2" s="13"/>
      <c r="D2" s="13"/>
      <c r="E2" s="13"/>
      <c r="F2" s="13"/>
      <c r="G2" s="13"/>
      <c r="H2" s="13"/>
    </row>
    <row r="3" spans="1:12" ht="30" customHeight="1" x14ac:dyDescent="0.2">
      <c r="A3" s="14" t="s">
        <v>770</v>
      </c>
      <c r="B3" s="14" t="s">
        <v>771</v>
      </c>
      <c r="C3" s="15" t="s">
        <v>772</v>
      </c>
      <c r="D3" s="16" t="s">
        <v>773</v>
      </c>
      <c r="E3" s="22">
        <v>1</v>
      </c>
      <c r="F3" s="18" t="s">
        <v>45</v>
      </c>
      <c r="G3" s="31" t="s">
        <v>920</v>
      </c>
      <c r="H3" s="16"/>
      <c r="I3" s="32"/>
      <c r="J3" s="33"/>
      <c r="K3" s="33"/>
      <c r="L3" s="33"/>
    </row>
    <row r="4" spans="1:12" ht="30" customHeight="1" x14ac:dyDescent="0.2">
      <c r="A4" s="19" t="s">
        <v>770</v>
      </c>
      <c r="B4" s="19" t="s">
        <v>771</v>
      </c>
      <c r="C4" s="20" t="s">
        <v>774</v>
      </c>
      <c r="D4" s="21" t="s">
        <v>775</v>
      </c>
      <c r="E4" s="17">
        <v>2</v>
      </c>
      <c r="F4" s="18" t="s">
        <v>45</v>
      </c>
      <c r="G4" s="31" t="s">
        <v>921</v>
      </c>
      <c r="H4" s="21"/>
      <c r="I4" s="32"/>
      <c r="J4" s="33"/>
      <c r="K4" s="33"/>
      <c r="L4" s="33"/>
    </row>
    <row r="5" spans="1:12" ht="30" customHeight="1" x14ac:dyDescent="0.2">
      <c r="A5" s="14" t="s">
        <v>770</v>
      </c>
      <c r="B5" s="14" t="s">
        <v>771</v>
      </c>
      <c r="C5" s="15" t="s">
        <v>776</v>
      </c>
      <c r="D5" s="16" t="s">
        <v>777</v>
      </c>
      <c r="E5" s="17">
        <v>2</v>
      </c>
      <c r="F5" s="18" t="s">
        <v>45</v>
      </c>
      <c r="G5" s="31" t="s">
        <v>922</v>
      </c>
      <c r="H5" s="16"/>
      <c r="I5" s="32"/>
      <c r="J5" s="33"/>
      <c r="K5" s="33"/>
      <c r="L5" s="33"/>
    </row>
    <row r="6" spans="1:12" ht="30" customHeight="1" x14ac:dyDescent="0.2">
      <c r="A6" s="19" t="s">
        <v>770</v>
      </c>
      <c r="B6" s="19" t="s">
        <v>771</v>
      </c>
      <c r="C6" s="20" t="s">
        <v>778</v>
      </c>
      <c r="D6" s="21" t="s">
        <v>779</v>
      </c>
      <c r="E6" s="23">
        <v>3</v>
      </c>
      <c r="F6" s="18" t="s">
        <v>45</v>
      </c>
      <c r="G6" s="31" t="s">
        <v>923</v>
      </c>
      <c r="H6" s="21"/>
      <c r="I6" s="32"/>
      <c r="J6" s="33"/>
      <c r="K6" s="33"/>
      <c r="L6" s="33"/>
    </row>
    <row r="7" spans="1:12" ht="30" customHeight="1" x14ac:dyDescent="0.2">
      <c r="A7" s="14" t="s">
        <v>770</v>
      </c>
      <c r="B7" s="14" t="s">
        <v>771</v>
      </c>
      <c r="C7" s="15" t="s">
        <v>780</v>
      </c>
      <c r="D7" s="16" t="s">
        <v>781</v>
      </c>
      <c r="E7" s="23">
        <v>3</v>
      </c>
      <c r="F7" s="18" t="s">
        <v>45</v>
      </c>
      <c r="G7" s="31" t="s">
        <v>924</v>
      </c>
      <c r="H7" s="16"/>
      <c r="I7" s="32"/>
      <c r="J7" s="33"/>
      <c r="K7" s="33"/>
      <c r="L7" s="33"/>
    </row>
    <row r="8" spans="1:12" ht="18" customHeight="1" x14ac:dyDescent="0.2">
      <c r="A8" s="13" t="s">
        <v>782</v>
      </c>
      <c r="B8" s="13" t="s">
        <v>783</v>
      </c>
      <c r="C8" s="13"/>
      <c r="D8" s="13"/>
      <c r="E8" s="13"/>
      <c r="F8" s="13"/>
      <c r="G8" s="13"/>
      <c r="H8" s="13"/>
    </row>
    <row r="9" spans="1:12" ht="30" customHeight="1" x14ac:dyDescent="0.2">
      <c r="A9" s="14" t="s">
        <v>782</v>
      </c>
      <c r="B9" s="14" t="s">
        <v>783</v>
      </c>
      <c r="C9" s="15" t="s">
        <v>784</v>
      </c>
      <c r="D9" s="16" t="s">
        <v>785</v>
      </c>
      <c r="E9" s="22">
        <v>1</v>
      </c>
      <c r="F9" s="18" t="s">
        <v>45</v>
      </c>
      <c r="G9" s="31" t="s">
        <v>947</v>
      </c>
      <c r="H9" s="16"/>
      <c r="I9" s="32"/>
      <c r="J9" s="33"/>
      <c r="K9" s="33"/>
      <c r="L9" s="33"/>
    </row>
    <row r="10" spans="1:12" ht="30" customHeight="1" x14ac:dyDescent="0.2">
      <c r="A10" s="19" t="s">
        <v>782</v>
      </c>
      <c r="B10" s="19" t="s">
        <v>783</v>
      </c>
      <c r="C10" s="20" t="s">
        <v>786</v>
      </c>
      <c r="D10" s="21" t="s">
        <v>787</v>
      </c>
      <c r="E10" s="17">
        <v>2</v>
      </c>
      <c r="F10" s="18" t="s">
        <v>514</v>
      </c>
      <c r="G10" s="21"/>
      <c r="H10" s="21"/>
      <c r="I10" s="32"/>
      <c r="J10" s="33"/>
      <c r="K10" s="33"/>
      <c r="L10" s="33"/>
    </row>
    <row r="11" spans="1:12" ht="30" customHeight="1" x14ac:dyDescent="0.2">
      <c r="A11" s="14" t="s">
        <v>782</v>
      </c>
      <c r="B11" s="14" t="s">
        <v>783</v>
      </c>
      <c r="C11" s="15" t="s">
        <v>788</v>
      </c>
      <c r="D11" s="16" t="s">
        <v>789</v>
      </c>
      <c r="E11" s="17">
        <v>2</v>
      </c>
      <c r="F11" s="18" t="s">
        <v>45</v>
      </c>
      <c r="G11" s="31" t="s">
        <v>955</v>
      </c>
      <c r="H11" s="16"/>
      <c r="I11" s="32"/>
      <c r="J11" s="33"/>
      <c r="K11" s="33"/>
      <c r="L11" s="33"/>
    </row>
    <row r="12" spans="1:12" ht="30" customHeight="1" x14ac:dyDescent="0.2">
      <c r="A12" s="19" t="s">
        <v>782</v>
      </c>
      <c r="B12" s="19" t="s">
        <v>783</v>
      </c>
      <c r="C12" s="20" t="s">
        <v>790</v>
      </c>
      <c r="D12" s="21" t="s">
        <v>791</v>
      </c>
      <c r="E12" s="23">
        <v>3</v>
      </c>
      <c r="F12" s="18" t="s">
        <v>514</v>
      </c>
      <c r="G12" s="21"/>
      <c r="H12" s="21"/>
    </row>
    <row r="13" spans="1:12" ht="30" customHeight="1" x14ac:dyDescent="0.2">
      <c r="A13" s="14" t="s">
        <v>782</v>
      </c>
      <c r="B13" s="14" t="s">
        <v>783</v>
      </c>
      <c r="C13" s="15" t="s">
        <v>792</v>
      </c>
      <c r="D13" s="16" t="s">
        <v>793</v>
      </c>
      <c r="E13" s="23">
        <v>3</v>
      </c>
      <c r="F13" s="18" t="s">
        <v>514</v>
      </c>
      <c r="G13" s="16"/>
      <c r="H13" s="16"/>
    </row>
    <row r="14" spans="1:12" ht="18" customHeight="1" x14ac:dyDescent="0.2">
      <c r="A14" s="13" t="s">
        <v>794</v>
      </c>
      <c r="B14" s="13" t="s">
        <v>795</v>
      </c>
      <c r="C14" s="13"/>
      <c r="D14" s="13"/>
      <c r="E14" s="13"/>
      <c r="F14" s="13"/>
      <c r="G14" s="13"/>
      <c r="H14" s="13"/>
    </row>
    <row r="15" spans="1:12" ht="30" customHeight="1" x14ac:dyDescent="0.2">
      <c r="A15" s="14" t="s">
        <v>794</v>
      </c>
      <c r="B15" s="14" t="s">
        <v>795</v>
      </c>
      <c r="C15" s="15" t="s">
        <v>796</v>
      </c>
      <c r="D15" s="16" t="s">
        <v>797</v>
      </c>
      <c r="E15" s="22">
        <v>1</v>
      </c>
      <c r="F15" s="18" t="s">
        <v>45</v>
      </c>
      <c r="G15" s="31" t="s">
        <v>959</v>
      </c>
      <c r="H15" s="16"/>
      <c r="I15" s="32"/>
      <c r="J15" s="33"/>
      <c r="K15" s="33"/>
      <c r="L15" s="33"/>
    </row>
    <row r="16" spans="1:12" ht="30" customHeight="1" x14ac:dyDescent="0.2">
      <c r="A16" s="19" t="s">
        <v>794</v>
      </c>
      <c r="B16" s="19" t="s">
        <v>795</v>
      </c>
      <c r="C16" s="20" t="s">
        <v>798</v>
      </c>
      <c r="D16" s="21" t="s">
        <v>799</v>
      </c>
      <c r="E16" s="17">
        <v>2</v>
      </c>
      <c r="F16" s="18" t="s">
        <v>514</v>
      </c>
      <c r="G16" s="21"/>
      <c r="H16" s="21"/>
    </row>
    <row r="17" spans="1:12" ht="30" customHeight="1" x14ac:dyDescent="0.2">
      <c r="A17" s="14" t="s">
        <v>794</v>
      </c>
      <c r="B17" s="14" t="s">
        <v>795</v>
      </c>
      <c r="C17" s="15" t="s">
        <v>800</v>
      </c>
      <c r="D17" s="16" t="s">
        <v>801</v>
      </c>
      <c r="E17" s="17">
        <v>2</v>
      </c>
      <c r="F17" s="18" t="s">
        <v>45</v>
      </c>
      <c r="G17" s="31" t="s">
        <v>967</v>
      </c>
      <c r="H17" s="24"/>
      <c r="I17" s="32"/>
      <c r="J17" s="33"/>
      <c r="K17" s="33"/>
      <c r="L17" s="33"/>
    </row>
    <row r="18" spans="1:12" ht="30" customHeight="1" x14ac:dyDescent="0.2">
      <c r="A18" s="19" t="s">
        <v>794</v>
      </c>
      <c r="B18" s="19" t="s">
        <v>795</v>
      </c>
      <c r="C18" s="20" t="s">
        <v>802</v>
      </c>
      <c r="D18" s="21" t="s">
        <v>803</v>
      </c>
      <c r="E18" s="17">
        <v>2</v>
      </c>
      <c r="F18" s="18" t="s">
        <v>514</v>
      </c>
      <c r="G18" s="21"/>
      <c r="H18" s="21"/>
    </row>
    <row r="19" spans="1:12" ht="30" customHeight="1" x14ac:dyDescent="0.2">
      <c r="A19" s="14" t="s">
        <v>794</v>
      </c>
      <c r="B19" s="14" t="s">
        <v>795</v>
      </c>
      <c r="C19" s="15" t="s">
        <v>804</v>
      </c>
      <c r="D19" s="16" t="s">
        <v>805</v>
      </c>
      <c r="E19" s="17">
        <v>2</v>
      </c>
      <c r="F19" s="18" t="s">
        <v>45</v>
      </c>
      <c r="G19" s="31" t="s">
        <v>970</v>
      </c>
      <c r="H19" s="16"/>
      <c r="I19" s="34"/>
      <c r="J19" s="35"/>
      <c r="K19" s="35"/>
      <c r="L19" s="35"/>
    </row>
    <row r="20" spans="1:12" ht="30" customHeight="1" x14ac:dyDescent="0.2">
      <c r="A20" s="19" t="s">
        <v>794</v>
      </c>
      <c r="B20" s="19" t="s">
        <v>795</v>
      </c>
      <c r="C20" s="20" t="s">
        <v>806</v>
      </c>
      <c r="D20" s="21" t="s">
        <v>807</v>
      </c>
      <c r="E20" s="17">
        <v>2</v>
      </c>
      <c r="F20" s="18" t="s">
        <v>514</v>
      </c>
      <c r="G20" s="21"/>
      <c r="H20" s="21"/>
    </row>
    <row r="21" spans="1:12" ht="30" customHeight="1" x14ac:dyDescent="0.2">
      <c r="A21" s="14" t="s">
        <v>794</v>
      </c>
      <c r="B21" s="14" t="s">
        <v>795</v>
      </c>
      <c r="C21" s="15" t="s">
        <v>808</v>
      </c>
      <c r="D21" s="16" t="s">
        <v>809</v>
      </c>
      <c r="E21" s="17">
        <v>2</v>
      </c>
      <c r="F21" s="18" t="s">
        <v>514</v>
      </c>
      <c r="G21" s="16"/>
      <c r="H21" s="16"/>
    </row>
    <row r="22" spans="1:12" ht="18" customHeight="1" x14ac:dyDescent="0.2">
      <c r="A22" s="13" t="s">
        <v>810</v>
      </c>
      <c r="B22" s="13" t="s">
        <v>811</v>
      </c>
      <c r="C22" s="13"/>
      <c r="D22" s="13"/>
      <c r="E22" s="13"/>
      <c r="F22" s="13"/>
      <c r="G22" s="29"/>
      <c r="H22" s="13"/>
    </row>
    <row r="23" spans="1:12" ht="30" customHeight="1" x14ac:dyDescent="0.2">
      <c r="A23" s="14" t="s">
        <v>810</v>
      </c>
      <c r="B23" s="14" t="s">
        <v>811</v>
      </c>
      <c r="C23" s="15" t="s">
        <v>812</v>
      </c>
      <c r="D23" s="16" t="s">
        <v>813</v>
      </c>
      <c r="E23" s="23">
        <v>3</v>
      </c>
      <c r="F23" s="18" t="s">
        <v>514</v>
      </c>
      <c r="G23" s="16"/>
      <c r="H23" s="16"/>
      <c r="I23" s="32"/>
      <c r="J23" s="33"/>
      <c r="K23" s="33"/>
      <c r="L23" s="33"/>
    </row>
    <row r="24" spans="1:12" ht="30" customHeight="1" x14ac:dyDescent="0.2">
      <c r="A24" s="19" t="s">
        <v>810</v>
      </c>
      <c r="B24" s="19" t="s">
        <v>811</v>
      </c>
      <c r="C24" s="20" t="s">
        <v>814</v>
      </c>
      <c r="D24" s="21" t="s">
        <v>815</v>
      </c>
      <c r="E24" s="23">
        <v>3</v>
      </c>
      <c r="F24" s="18" t="s">
        <v>45</v>
      </c>
      <c r="G24" s="45" t="s">
        <v>985</v>
      </c>
      <c r="H24" s="21"/>
      <c r="I24" s="32"/>
      <c r="J24" s="33"/>
      <c r="K24" s="33"/>
      <c r="L24" s="33"/>
    </row>
    <row r="25" spans="1:12" ht="30" customHeight="1" x14ac:dyDescent="0.2">
      <c r="A25" s="14" t="s">
        <v>810</v>
      </c>
      <c r="B25" s="14" t="s">
        <v>811</v>
      </c>
      <c r="C25" s="15" t="s">
        <v>816</v>
      </c>
      <c r="D25" s="16" t="s">
        <v>817</v>
      </c>
      <c r="E25" s="23">
        <v>3</v>
      </c>
      <c r="F25" s="18" t="s">
        <v>514</v>
      </c>
      <c r="G25" s="16"/>
      <c r="H25" s="16"/>
      <c r="I25" s="32"/>
      <c r="J25" s="33"/>
      <c r="K25" s="33"/>
      <c r="L25" s="33"/>
    </row>
    <row r="26" spans="1:12" ht="30" customHeight="1" x14ac:dyDescent="0.2">
      <c r="A26" s="19" t="s">
        <v>810</v>
      </c>
      <c r="B26" s="19" t="s">
        <v>811</v>
      </c>
      <c r="C26" s="20" t="s">
        <v>818</v>
      </c>
      <c r="D26" s="21" t="s">
        <v>819</v>
      </c>
      <c r="E26" s="23">
        <v>3</v>
      </c>
      <c r="F26" s="18" t="s">
        <v>514</v>
      </c>
      <c r="G26" s="21"/>
      <c r="H26" s="21"/>
      <c r="I26" s="32"/>
      <c r="J26" s="33"/>
      <c r="K26" s="33"/>
      <c r="L26" s="33"/>
    </row>
  </sheetData>
  <mergeCells count="6">
    <mergeCell ref="I23:L26"/>
    <mergeCell ref="I3:L7"/>
    <mergeCell ref="I9:L11"/>
    <mergeCell ref="I15:L15"/>
    <mergeCell ref="I17:L17"/>
    <mergeCell ref="I19:L19"/>
  </mergeCells>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23"/>
  <sheetViews>
    <sheetView topLeftCell="D1" zoomScale="133" zoomScaleNormal="75" workbookViewId="0">
      <pane ySplit="1" topLeftCell="A8" activePane="bottomLeft" state="frozen"/>
      <selection pane="bottomLeft" activeCell="G20" sqref="G20"/>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12" ht="28" customHeight="1" x14ac:dyDescent="0.2">
      <c r="A1" s="12" t="s">
        <v>33</v>
      </c>
      <c r="B1" s="12" t="s">
        <v>34</v>
      </c>
      <c r="C1" s="12" t="s">
        <v>35</v>
      </c>
      <c r="D1" s="12" t="s">
        <v>36</v>
      </c>
      <c r="E1" s="12" t="s">
        <v>37</v>
      </c>
      <c r="F1" s="12" t="s">
        <v>38</v>
      </c>
      <c r="G1" s="12" t="s">
        <v>39</v>
      </c>
      <c r="H1" s="12" t="s">
        <v>40</v>
      </c>
    </row>
    <row r="2" spans="1:12" ht="18" customHeight="1" x14ac:dyDescent="0.2">
      <c r="A2" s="13" t="s">
        <v>820</v>
      </c>
      <c r="B2" s="13" t="s">
        <v>821</v>
      </c>
      <c r="C2" s="13"/>
      <c r="D2" s="13"/>
      <c r="E2" s="13"/>
      <c r="F2" s="13"/>
      <c r="G2" s="13"/>
      <c r="H2" s="13"/>
      <c r="I2" s="36"/>
      <c r="J2" s="37"/>
      <c r="K2" s="37"/>
      <c r="L2" s="37"/>
    </row>
    <row r="3" spans="1:12" ht="30" customHeight="1" x14ac:dyDescent="0.2">
      <c r="A3" s="14" t="s">
        <v>820</v>
      </c>
      <c r="B3" s="14" t="s">
        <v>821</v>
      </c>
      <c r="C3" s="15" t="s">
        <v>822</v>
      </c>
      <c r="D3" s="16" t="s">
        <v>823</v>
      </c>
      <c r="E3" s="17">
        <v>2</v>
      </c>
      <c r="F3" s="18" t="s">
        <v>45</v>
      </c>
      <c r="G3" s="27" t="s">
        <v>990</v>
      </c>
      <c r="H3" s="16"/>
      <c r="I3" s="34"/>
      <c r="J3" s="35"/>
      <c r="K3" s="35"/>
      <c r="L3" s="35"/>
    </row>
    <row r="4" spans="1:12" ht="18" customHeight="1" x14ac:dyDescent="0.2">
      <c r="A4" s="13" t="s">
        <v>824</v>
      </c>
      <c r="B4" s="13" t="s">
        <v>825</v>
      </c>
      <c r="C4" s="13"/>
      <c r="D4" s="13"/>
      <c r="E4" s="13"/>
      <c r="F4" s="13"/>
      <c r="G4" s="13"/>
      <c r="H4" s="13"/>
    </row>
    <row r="5" spans="1:12" ht="30" customHeight="1" x14ac:dyDescent="0.2">
      <c r="A5" s="14" t="s">
        <v>824</v>
      </c>
      <c r="B5" s="14" t="s">
        <v>825</v>
      </c>
      <c r="C5" s="15" t="s">
        <v>826</v>
      </c>
      <c r="D5" s="16" t="s">
        <v>827</v>
      </c>
      <c r="E5" s="17">
        <v>2</v>
      </c>
      <c r="F5" s="18" t="s">
        <v>741</v>
      </c>
      <c r="G5" s="31" t="s">
        <v>998</v>
      </c>
      <c r="H5" s="16"/>
      <c r="I5" s="34"/>
      <c r="J5" s="35"/>
      <c r="K5" s="35"/>
      <c r="L5" s="35"/>
    </row>
    <row r="6" spans="1:12" ht="30" customHeight="1" x14ac:dyDescent="0.2">
      <c r="A6" s="19" t="s">
        <v>824</v>
      </c>
      <c r="B6" s="19" t="s">
        <v>825</v>
      </c>
      <c r="C6" s="20" t="s">
        <v>828</v>
      </c>
      <c r="D6" s="21" t="s">
        <v>829</v>
      </c>
      <c r="E6" s="17">
        <v>2</v>
      </c>
      <c r="F6" s="18" t="s">
        <v>741</v>
      </c>
      <c r="G6" s="45" t="s">
        <v>999</v>
      </c>
      <c r="H6" s="21"/>
      <c r="I6" s="34"/>
      <c r="J6" s="35"/>
      <c r="K6" s="35"/>
      <c r="L6" s="35"/>
    </row>
    <row r="7" spans="1:12" ht="30" customHeight="1" x14ac:dyDescent="0.2">
      <c r="A7" s="14" t="s">
        <v>824</v>
      </c>
      <c r="B7" s="14" t="s">
        <v>825</v>
      </c>
      <c r="C7" s="15" t="s">
        <v>830</v>
      </c>
      <c r="D7" s="16" t="s">
        <v>831</v>
      </c>
      <c r="E7" s="17">
        <v>2</v>
      </c>
      <c r="F7" s="18" t="s">
        <v>514</v>
      </c>
      <c r="G7" s="16"/>
      <c r="H7" s="16"/>
    </row>
    <row r="8" spans="1:12" ht="30" customHeight="1" x14ac:dyDescent="0.2">
      <c r="A8" s="19" t="s">
        <v>824</v>
      </c>
      <c r="B8" s="19" t="s">
        <v>825</v>
      </c>
      <c r="C8" s="20" t="s">
        <v>832</v>
      </c>
      <c r="D8" s="21" t="s">
        <v>833</v>
      </c>
      <c r="E8" s="17">
        <v>2</v>
      </c>
      <c r="F8" s="18" t="s">
        <v>514</v>
      </c>
      <c r="G8" s="21"/>
      <c r="H8" s="21"/>
    </row>
    <row r="9" spans="1:12" ht="30" customHeight="1" x14ac:dyDescent="0.2">
      <c r="A9" s="14" t="s">
        <v>824</v>
      </c>
      <c r="B9" s="14" t="s">
        <v>825</v>
      </c>
      <c r="C9" s="15" t="s">
        <v>834</v>
      </c>
      <c r="D9" s="16" t="s">
        <v>835</v>
      </c>
      <c r="E9" s="17">
        <v>2</v>
      </c>
      <c r="F9" s="18" t="s">
        <v>514</v>
      </c>
      <c r="G9" s="16"/>
      <c r="H9" s="16"/>
    </row>
    <row r="10" spans="1:12" ht="18" customHeight="1" x14ac:dyDescent="0.2">
      <c r="A10" s="13" t="s">
        <v>836</v>
      </c>
      <c r="B10" s="13" t="s">
        <v>837</v>
      </c>
      <c r="C10" s="13"/>
      <c r="D10" s="13"/>
      <c r="E10" s="13"/>
      <c r="F10" s="13"/>
      <c r="G10" s="13"/>
      <c r="H10" s="13"/>
    </row>
    <row r="11" spans="1:12" ht="30" customHeight="1" x14ac:dyDescent="0.2">
      <c r="A11" s="14" t="s">
        <v>836</v>
      </c>
      <c r="B11" s="14" t="s">
        <v>837</v>
      </c>
      <c r="C11" s="15" t="s">
        <v>838</v>
      </c>
      <c r="D11" s="16" t="s">
        <v>839</v>
      </c>
      <c r="E11" s="17">
        <v>2</v>
      </c>
      <c r="F11" s="18" t="s">
        <v>741</v>
      </c>
      <c r="G11" s="45" t="s">
        <v>1009</v>
      </c>
      <c r="H11" s="16"/>
      <c r="I11" s="32"/>
      <c r="J11" s="33"/>
      <c r="K11" s="33"/>
      <c r="L11" s="33"/>
    </row>
    <row r="12" spans="1:12" ht="30" customHeight="1" x14ac:dyDescent="0.2">
      <c r="A12" s="19" t="s">
        <v>836</v>
      </c>
      <c r="B12" s="19" t="s">
        <v>837</v>
      </c>
      <c r="C12" s="20" t="s">
        <v>840</v>
      </c>
      <c r="D12" s="21" t="s">
        <v>841</v>
      </c>
      <c r="E12" s="17">
        <v>2</v>
      </c>
      <c r="F12" s="18" t="s">
        <v>741</v>
      </c>
      <c r="G12" s="45" t="s">
        <v>1011</v>
      </c>
      <c r="H12" s="21"/>
      <c r="I12" s="32"/>
      <c r="J12" s="33"/>
      <c r="K12" s="33"/>
      <c r="L12" s="33"/>
    </row>
    <row r="13" spans="1:12" ht="30" customHeight="1" x14ac:dyDescent="0.2">
      <c r="A13" s="14" t="s">
        <v>836</v>
      </c>
      <c r="B13" s="14" t="s">
        <v>837</v>
      </c>
      <c r="C13" s="15" t="s">
        <v>842</v>
      </c>
      <c r="D13" s="16" t="s">
        <v>843</v>
      </c>
      <c r="E13" s="17">
        <v>2</v>
      </c>
      <c r="F13" s="18" t="s">
        <v>741</v>
      </c>
      <c r="G13" s="45" t="s">
        <v>1012</v>
      </c>
      <c r="H13" s="16"/>
      <c r="I13" s="32"/>
      <c r="J13" s="33"/>
      <c r="K13" s="33"/>
      <c r="L13" s="33"/>
    </row>
    <row r="14" spans="1:12" ht="30" customHeight="1" x14ac:dyDescent="0.2">
      <c r="A14" s="19" t="s">
        <v>836</v>
      </c>
      <c r="B14" s="19" t="s">
        <v>837</v>
      </c>
      <c r="C14" s="20" t="s">
        <v>844</v>
      </c>
      <c r="D14" s="21" t="s">
        <v>845</v>
      </c>
      <c r="E14" s="17">
        <v>2</v>
      </c>
      <c r="F14" s="18" t="s">
        <v>741</v>
      </c>
      <c r="G14" s="45" t="s">
        <v>1013</v>
      </c>
      <c r="H14" s="21"/>
      <c r="I14" s="32"/>
      <c r="J14" s="33"/>
      <c r="K14" s="33"/>
      <c r="L14" s="33"/>
    </row>
    <row r="15" spans="1:12" ht="18" customHeight="1" x14ac:dyDescent="0.2">
      <c r="A15" s="13" t="s">
        <v>846</v>
      </c>
      <c r="B15" s="13" t="s">
        <v>847</v>
      </c>
      <c r="C15" s="13"/>
      <c r="D15" s="13"/>
      <c r="E15" s="13"/>
      <c r="F15" s="13"/>
      <c r="G15" s="13"/>
      <c r="H15" s="13"/>
    </row>
    <row r="16" spans="1:12" ht="30" customHeight="1" x14ac:dyDescent="0.2">
      <c r="A16" s="14" t="s">
        <v>846</v>
      </c>
      <c r="B16" s="14" t="s">
        <v>847</v>
      </c>
      <c r="C16" s="15" t="s">
        <v>848</v>
      </c>
      <c r="D16" s="16" t="s">
        <v>849</v>
      </c>
      <c r="E16" s="17">
        <v>2</v>
      </c>
      <c r="F16" s="18" t="s">
        <v>514</v>
      </c>
      <c r="G16" s="16"/>
      <c r="H16" s="16"/>
    </row>
    <row r="17" spans="1:12" ht="30" customHeight="1" x14ac:dyDescent="0.2">
      <c r="A17" s="19" t="s">
        <v>846</v>
      </c>
      <c r="B17" s="19" t="s">
        <v>847</v>
      </c>
      <c r="C17" s="20" t="s">
        <v>850</v>
      </c>
      <c r="D17" s="21" t="s">
        <v>851</v>
      </c>
      <c r="E17" s="17">
        <v>2</v>
      </c>
      <c r="F17" s="18" t="s">
        <v>45</v>
      </c>
      <c r="G17" s="46" t="s">
        <v>1017</v>
      </c>
      <c r="H17" s="21"/>
      <c r="I17" s="32"/>
      <c r="J17" s="33"/>
      <c r="K17" s="33"/>
      <c r="L17" s="33"/>
    </row>
    <row r="18" spans="1:12" ht="30" customHeight="1" x14ac:dyDescent="0.2">
      <c r="A18" s="14" t="s">
        <v>846</v>
      </c>
      <c r="B18" s="14" t="s">
        <v>847</v>
      </c>
      <c r="C18" s="15" t="s">
        <v>852</v>
      </c>
      <c r="D18" s="16" t="s">
        <v>853</v>
      </c>
      <c r="E18" s="17">
        <v>2</v>
      </c>
      <c r="F18" s="18" t="s">
        <v>45</v>
      </c>
      <c r="G18" s="45" t="s">
        <v>1018</v>
      </c>
      <c r="H18" s="16"/>
      <c r="I18" s="32"/>
      <c r="J18" s="33"/>
      <c r="K18" s="33"/>
      <c r="L18" s="33"/>
    </row>
    <row r="19" spans="1:12" ht="18" customHeight="1" x14ac:dyDescent="0.2">
      <c r="A19" s="13" t="s">
        <v>854</v>
      </c>
      <c r="B19" s="13" t="s">
        <v>855</v>
      </c>
      <c r="C19" s="13"/>
      <c r="D19" s="13"/>
      <c r="E19" s="13"/>
      <c r="F19" s="13"/>
      <c r="G19" s="13"/>
      <c r="H19" s="13"/>
    </row>
    <row r="20" spans="1:12" ht="30" customHeight="1" x14ac:dyDescent="0.2">
      <c r="A20" s="14" t="s">
        <v>854</v>
      </c>
      <c r="B20" s="14" t="s">
        <v>855</v>
      </c>
      <c r="C20" s="15" t="s">
        <v>856</v>
      </c>
      <c r="D20" s="16" t="s">
        <v>857</v>
      </c>
      <c r="E20" s="17">
        <v>2</v>
      </c>
      <c r="F20" s="18" t="s">
        <v>45</v>
      </c>
      <c r="G20" s="25" t="s">
        <v>1020</v>
      </c>
      <c r="H20" s="16"/>
      <c r="I20" s="34"/>
      <c r="J20" s="35"/>
      <c r="K20" s="35"/>
      <c r="L20" s="35"/>
    </row>
    <row r="21" spans="1:12" ht="30" customHeight="1" x14ac:dyDescent="0.2">
      <c r="A21" s="19" t="s">
        <v>854</v>
      </c>
      <c r="B21" s="19" t="s">
        <v>855</v>
      </c>
      <c r="C21" s="20" t="s">
        <v>858</v>
      </c>
      <c r="D21" s="21" t="s">
        <v>859</v>
      </c>
      <c r="E21" s="17">
        <v>2</v>
      </c>
      <c r="F21" s="18" t="s">
        <v>514</v>
      </c>
      <c r="G21" s="21"/>
      <c r="H21" s="21"/>
    </row>
    <row r="22" spans="1:12" ht="30" customHeight="1" x14ac:dyDescent="0.2">
      <c r="A22" s="14" t="s">
        <v>854</v>
      </c>
      <c r="B22" s="14" t="s">
        <v>855</v>
      </c>
      <c r="C22" s="15" t="s">
        <v>860</v>
      </c>
      <c r="D22" s="16" t="s">
        <v>861</v>
      </c>
      <c r="E22" s="17">
        <v>2</v>
      </c>
      <c r="F22" s="18" t="s">
        <v>514</v>
      </c>
      <c r="G22" s="16"/>
      <c r="H22" s="16"/>
    </row>
    <row r="23" spans="1:12" ht="30" customHeight="1" x14ac:dyDescent="0.2">
      <c r="A23" s="19" t="s">
        <v>854</v>
      </c>
      <c r="B23" s="19" t="s">
        <v>855</v>
      </c>
      <c r="C23" s="20" t="s">
        <v>862</v>
      </c>
      <c r="D23" s="21" t="s">
        <v>863</v>
      </c>
      <c r="E23" s="23">
        <v>3</v>
      </c>
      <c r="F23" s="18" t="s">
        <v>514</v>
      </c>
      <c r="G23" s="21"/>
      <c r="H23" s="21"/>
    </row>
  </sheetData>
  <mergeCells count="6">
    <mergeCell ref="I17:L18"/>
    <mergeCell ref="I20:L20"/>
    <mergeCell ref="I2:L2"/>
    <mergeCell ref="I3:L3"/>
    <mergeCell ref="I5:L6"/>
    <mergeCell ref="I11:L14"/>
  </mergeCells>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33</v>
      </c>
      <c r="B1" s="12" t="s">
        <v>34</v>
      </c>
      <c r="C1" s="12" t="s">
        <v>35</v>
      </c>
      <c r="D1" s="12" t="s">
        <v>36</v>
      </c>
      <c r="E1" s="12" t="s">
        <v>37</v>
      </c>
      <c r="F1" s="12" t="s">
        <v>38</v>
      </c>
      <c r="G1" s="12" t="s">
        <v>39</v>
      </c>
      <c r="H1" s="12" t="s">
        <v>40</v>
      </c>
    </row>
    <row r="2" spans="1:8" ht="18" customHeight="1" x14ac:dyDescent="0.2">
      <c r="A2" s="13" t="s">
        <v>864</v>
      </c>
      <c r="B2" s="13" t="s">
        <v>865</v>
      </c>
      <c r="C2" s="13"/>
      <c r="D2" s="13"/>
      <c r="E2" s="13"/>
      <c r="F2" s="13"/>
      <c r="G2" s="13"/>
      <c r="H2" s="13"/>
    </row>
    <row r="3" spans="1:8" ht="30" customHeight="1" x14ac:dyDescent="0.2">
      <c r="A3" s="14" t="s">
        <v>864</v>
      </c>
      <c r="B3" s="14" t="s">
        <v>865</v>
      </c>
      <c r="C3" s="15" t="s">
        <v>866</v>
      </c>
      <c r="D3" s="16" t="s">
        <v>867</v>
      </c>
      <c r="E3" s="17">
        <v>2</v>
      </c>
      <c r="F3" s="18" t="s">
        <v>514</v>
      </c>
      <c r="G3" s="16"/>
      <c r="H3" s="16"/>
    </row>
    <row r="4" spans="1:8" ht="30" customHeight="1" x14ac:dyDescent="0.2">
      <c r="A4" s="19" t="s">
        <v>864</v>
      </c>
      <c r="B4" s="19" t="s">
        <v>865</v>
      </c>
      <c r="C4" s="20" t="s">
        <v>868</v>
      </c>
      <c r="D4" s="21" t="s">
        <v>869</v>
      </c>
      <c r="E4" s="23">
        <v>3</v>
      </c>
      <c r="F4" s="18" t="s">
        <v>514</v>
      </c>
      <c r="G4" s="21"/>
      <c r="H4" s="21"/>
    </row>
    <row r="5" spans="1:8" ht="18" customHeight="1" x14ac:dyDescent="0.2">
      <c r="A5" s="13" t="s">
        <v>870</v>
      </c>
      <c r="B5" s="13" t="s">
        <v>871</v>
      </c>
      <c r="C5" s="13"/>
      <c r="D5" s="13"/>
      <c r="E5" s="13"/>
      <c r="F5" s="13"/>
      <c r="G5" s="13"/>
      <c r="H5" s="13"/>
    </row>
    <row r="6" spans="1:8" ht="30" customHeight="1" x14ac:dyDescent="0.2">
      <c r="A6" s="14" t="s">
        <v>870</v>
      </c>
      <c r="B6" s="14" t="s">
        <v>871</v>
      </c>
      <c r="C6" s="15" t="s">
        <v>872</v>
      </c>
      <c r="D6" s="16" t="s">
        <v>873</v>
      </c>
      <c r="E6" s="17">
        <v>2</v>
      </c>
      <c r="F6" s="18" t="s">
        <v>514</v>
      </c>
      <c r="G6" s="16"/>
      <c r="H6" s="16"/>
    </row>
    <row r="7" spans="1:8" ht="30" customHeight="1" x14ac:dyDescent="0.2">
      <c r="A7" s="19" t="s">
        <v>870</v>
      </c>
      <c r="B7" s="19" t="s">
        <v>871</v>
      </c>
      <c r="C7" s="20" t="s">
        <v>874</v>
      </c>
      <c r="D7" s="21" t="s">
        <v>875</v>
      </c>
      <c r="E7" s="17">
        <v>2</v>
      </c>
      <c r="F7" s="18" t="s">
        <v>514</v>
      </c>
      <c r="G7" s="21"/>
      <c r="H7" s="21"/>
    </row>
    <row r="8" spans="1:8" ht="30" customHeight="1" x14ac:dyDescent="0.2">
      <c r="A8" s="14" t="s">
        <v>870</v>
      </c>
      <c r="B8" s="14" t="s">
        <v>871</v>
      </c>
      <c r="C8" s="15" t="s">
        <v>876</v>
      </c>
      <c r="D8" s="16" t="s">
        <v>877</v>
      </c>
      <c r="E8" s="17">
        <v>2</v>
      </c>
      <c r="F8" s="18" t="s">
        <v>514</v>
      </c>
      <c r="G8" s="16"/>
      <c r="H8" s="16"/>
    </row>
    <row r="9" spans="1:8" ht="30" customHeight="1" x14ac:dyDescent="0.2">
      <c r="A9" s="19" t="s">
        <v>870</v>
      </c>
      <c r="B9" s="19" t="s">
        <v>871</v>
      </c>
      <c r="C9" s="20" t="s">
        <v>878</v>
      </c>
      <c r="D9" s="21" t="s">
        <v>879</v>
      </c>
      <c r="E9" s="17">
        <v>2</v>
      </c>
      <c r="F9" s="18" t="s">
        <v>514</v>
      </c>
      <c r="G9" s="21"/>
      <c r="H9" s="21"/>
    </row>
    <row r="10" spans="1:8" ht="30" customHeight="1" x14ac:dyDescent="0.2">
      <c r="A10" s="14" t="s">
        <v>870</v>
      </c>
      <c r="B10" s="14" t="s">
        <v>871</v>
      </c>
      <c r="C10" s="15" t="s">
        <v>880</v>
      </c>
      <c r="D10" s="16" t="s">
        <v>881</v>
      </c>
      <c r="E10" s="23">
        <v>3</v>
      </c>
      <c r="F10" s="18" t="s">
        <v>514</v>
      </c>
      <c r="G10" s="16"/>
      <c r="H10" s="16"/>
    </row>
    <row r="11" spans="1:8" ht="30" customHeight="1" x14ac:dyDescent="0.2">
      <c r="A11" s="19" t="s">
        <v>870</v>
      </c>
      <c r="B11" s="19" t="s">
        <v>871</v>
      </c>
      <c r="C11" s="20" t="s">
        <v>882</v>
      </c>
      <c r="D11" s="21" t="s">
        <v>883</v>
      </c>
      <c r="E11" s="23">
        <v>3</v>
      </c>
      <c r="F11" s="18" t="s">
        <v>514</v>
      </c>
      <c r="G11" s="21"/>
      <c r="H11" s="21"/>
    </row>
    <row r="12" spans="1:8" ht="30" customHeight="1" x14ac:dyDescent="0.2">
      <c r="A12" s="14" t="s">
        <v>870</v>
      </c>
      <c r="B12" s="14" t="s">
        <v>871</v>
      </c>
      <c r="C12" s="15" t="s">
        <v>884</v>
      </c>
      <c r="D12" s="16" t="s">
        <v>885</v>
      </c>
      <c r="E12" s="23">
        <v>3</v>
      </c>
      <c r="F12" s="18" t="s">
        <v>514</v>
      </c>
      <c r="G12" s="16"/>
      <c r="H12" s="16"/>
    </row>
    <row r="13" spans="1:8" ht="30" customHeight="1" x14ac:dyDescent="0.2">
      <c r="A13" s="19" t="s">
        <v>870</v>
      </c>
      <c r="B13" s="19" t="s">
        <v>871</v>
      </c>
      <c r="C13" s="20" t="s">
        <v>886</v>
      </c>
      <c r="D13" s="21" t="s">
        <v>887</v>
      </c>
      <c r="E13" s="23">
        <v>3</v>
      </c>
      <c r="F13" s="18" t="s">
        <v>514</v>
      </c>
      <c r="G13" s="21"/>
      <c r="H13" s="21"/>
    </row>
    <row r="14" spans="1:8" ht="18" customHeight="1" x14ac:dyDescent="0.2">
      <c r="A14" s="13" t="s">
        <v>888</v>
      </c>
      <c r="B14" s="13" t="s">
        <v>889</v>
      </c>
      <c r="C14" s="13"/>
      <c r="D14" s="13"/>
      <c r="E14" s="13"/>
      <c r="F14" s="13"/>
      <c r="G14" s="13"/>
      <c r="H14" s="13"/>
    </row>
    <row r="15" spans="1:8" ht="30" customHeight="1" x14ac:dyDescent="0.2">
      <c r="A15" s="14" t="s">
        <v>888</v>
      </c>
      <c r="B15" s="14" t="s">
        <v>889</v>
      </c>
      <c r="C15" s="15" t="s">
        <v>890</v>
      </c>
      <c r="D15" s="16" t="s">
        <v>891</v>
      </c>
      <c r="E15" s="17">
        <v>2</v>
      </c>
      <c r="F15" s="18" t="s">
        <v>514</v>
      </c>
      <c r="G15" s="16"/>
      <c r="H15" s="16"/>
    </row>
    <row r="16" spans="1:8" ht="30" customHeight="1" x14ac:dyDescent="0.2">
      <c r="A16" s="19" t="s">
        <v>888</v>
      </c>
      <c r="B16" s="19" t="s">
        <v>889</v>
      </c>
      <c r="C16" s="20" t="s">
        <v>892</v>
      </c>
      <c r="D16" s="21" t="s">
        <v>893</v>
      </c>
      <c r="E16" s="17">
        <v>2</v>
      </c>
      <c r="F16" s="18" t="s">
        <v>514</v>
      </c>
      <c r="G16" s="21"/>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Diana Isabel Rosas Da Silva Neves</cp:lastModifiedBy>
  <cp:revision>3</cp:revision>
  <dcterms:created xsi:type="dcterms:W3CDTF">2026-03-04T10:14:28Z</dcterms:created>
  <dcterms:modified xsi:type="dcterms:W3CDTF">2026-04-20T21:42:01Z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