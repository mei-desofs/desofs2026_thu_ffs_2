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200" yWindow="-21600" windowWidth="38400" windowHeight="21600" tabRatio="500" firstSheet="5" activeTab="13" autoFilterDateGrouping="1"/>
  </bookViews>
  <sheets>
    <sheet xmlns:r="http://schemas.openxmlformats.org/officeDocument/2006/relationships" name="Summary" sheetId="1" state="visible" r:id="rId1"/>
    <sheet xmlns:r="http://schemas.openxmlformats.org/officeDocument/2006/relationships" name="V1 - Encoding and Sanitization" sheetId="2" state="visible" r:id="rId2"/>
    <sheet xmlns:r="http://schemas.openxmlformats.org/officeDocument/2006/relationships" name="V2 - Validation and Business Lo" sheetId="3" state="visible" r:id="rId3"/>
    <sheet xmlns:r="http://schemas.openxmlformats.org/officeDocument/2006/relationships" name="V3 - Web Frontend Security" sheetId="4" state="visible" r:id="rId4"/>
    <sheet xmlns:r="http://schemas.openxmlformats.org/officeDocument/2006/relationships" name="V4 - API and Web Service" sheetId="5" state="visible" r:id="rId5"/>
    <sheet xmlns:r="http://schemas.openxmlformats.org/officeDocument/2006/relationships" name="V5 - File Handling" sheetId="6" state="visible" r:id="rId6"/>
    <sheet xmlns:r="http://schemas.openxmlformats.org/officeDocument/2006/relationships" name="V6 - Authentication" sheetId="7" state="visible" r:id="rId7"/>
    <sheet xmlns:r="http://schemas.openxmlformats.org/officeDocument/2006/relationships" name="V7 - Session Management" sheetId="8" state="visible" r:id="rId8"/>
    <sheet xmlns:r="http://schemas.openxmlformats.org/officeDocument/2006/relationships" name="V8 - Authorization" sheetId="9" state="visible" r:id="rId9"/>
    <sheet xmlns:r="http://schemas.openxmlformats.org/officeDocument/2006/relationships" name="V9 - Self-contained Tokens" sheetId="10" state="visible" r:id="rId10"/>
    <sheet xmlns:r="http://schemas.openxmlformats.org/officeDocument/2006/relationships" name="V10 - OAuth and OIDC" sheetId="11" state="visible" r:id="rId11"/>
    <sheet xmlns:r="http://schemas.openxmlformats.org/officeDocument/2006/relationships" name="V11 - Cryptography" sheetId="12" state="visible" r:id="rId12"/>
    <sheet xmlns:r="http://schemas.openxmlformats.org/officeDocument/2006/relationships" name="V12 - Secure Communication" sheetId="13" state="visible" r:id="rId13"/>
    <sheet xmlns:r="http://schemas.openxmlformats.org/officeDocument/2006/relationships" name="V13 - Configuration" sheetId="14" state="visible" r:id="rId14"/>
    <sheet xmlns:r="http://schemas.openxmlformats.org/officeDocument/2006/relationships" name="V14 - Data Protection" sheetId="15" state="visible" r:id="rId15"/>
    <sheet xmlns:r="http://schemas.openxmlformats.org/officeDocument/2006/relationships" name="V15 - Secure Coding and Archite" sheetId="16" state="visible" r:id="rId16"/>
    <sheet xmlns:r="http://schemas.openxmlformats.org/officeDocument/2006/relationships" name="V16 - Security Logging and Erro" sheetId="17" state="visible" r:id="rId17"/>
    <sheet xmlns:r="http://schemas.openxmlformats.org/officeDocument/2006/relationships" name="V17 - WebRTC" sheetId="18" state="visible" r:id="rId18"/>
  </sheets>
  <definedNames>
    <definedName name="_xlnm._FilterDatabase" localSheetId="10" hidden="1">'V10 - OAuth and OIDC'!$F$1:$F$44</definedName>
    <definedName name="_xlnm._FilterDatabase" localSheetId="11" hidden="1">'V11 - Cryptography'!$F$1:$F$32</definedName>
    <definedName name="_xlnm._FilterDatabase" localSheetId="12" hidden="1">'V12 - Secure Communication'!$F$1:$F$16</definedName>
    <definedName name="_xlnm._FilterDatabase" localSheetId="13" hidden="1">'V13 - Configuration'!$F$1:$F$26</definedName>
  </definedNames>
  <calcPr calcId="191028" fullCalcOnLoad="1" iterateDelta="0.0001"/>
</workbook>
</file>

<file path=xl/styles.xml><?xml version="1.0" encoding="utf-8"?>
<styleSheet xmlns="http://schemas.openxmlformats.org/spreadsheetml/2006/main">
  <numFmts count="0"/>
  <fonts count="11">
    <font>
      <name val="Calibri"/>
      <charset val="1"/>
      <family val="2"/>
      <color rgb="FF000000"/>
      <sz val="11"/>
    </font>
    <font>
      <name val="Cambria"/>
      <family val="1"/>
      <b val="1"/>
      <color rgb="FFFFFFFF"/>
      <sz val="16"/>
    </font>
    <font>
      <name val="Cambria"/>
      <family val="1"/>
      <i val="1"/>
      <color rgb="FF595959"/>
      <sz val="10"/>
    </font>
    <font>
      <name val="Cambria"/>
      <family val="1"/>
      <b val="1"/>
      <sz val="10"/>
    </font>
    <font>
      <name val="Cambria"/>
      <family val="1"/>
      <b val="1"/>
      <sz val="9"/>
    </font>
    <font>
      <name val="Cambria"/>
      <family val="1"/>
      <b val="1"/>
      <color rgb="FFFFFFFF"/>
      <sz val="9"/>
    </font>
    <font>
      <name val="Cambria"/>
      <family val="1"/>
      <sz val="10"/>
    </font>
    <font>
      <name val="Cambria"/>
      <family val="1"/>
      <b val="1"/>
      <color rgb="FFFFFFFF"/>
      <sz val="11"/>
    </font>
    <font>
      <name val="Cambria"/>
      <family val="1"/>
      <b val="1"/>
      <color rgb="FFFFFFFF"/>
      <sz val="10"/>
    </font>
    <font>
      <name val="Cambria"/>
      <family val="1"/>
      <b val="1"/>
      <color rgb="FF1F3864"/>
      <sz val="10"/>
    </font>
    <font>
      <name val="Calibri"/>
      <family val="2"/>
      <color rgb="FF000000"/>
      <sz val="11"/>
    </font>
  </fonts>
  <fills count="10">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48">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9" fontId="6" fillId="3"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9" fontId="6" fillId="4" borderId="1" applyAlignment="1" pivotButton="0" quotePrefix="0" xfId="0">
      <alignment horizontal="center" vertical="center"/>
    </xf>
    <xf numFmtId="0" fontId="7" fillId="2" borderId="1" pivotButton="0" quotePrefix="0" xfId="0"/>
    <xf numFmtId="0" fontId="8" fillId="2" borderId="1" applyAlignment="1" pivotButton="0" quotePrefix="0" xfId="0">
      <alignment horizontal="center" vertical="center"/>
    </xf>
    <xf numFmtId="9" fontId="8" fillId="2" borderId="1" applyAlignment="1" pivotButton="0" quotePrefix="0" xfId="0">
      <alignment horizontal="center" vertical="center"/>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3"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0" fillId="0" borderId="0" applyAlignment="1" pivotButton="0" quotePrefix="0" xfId="0">
      <alignment horizontal="center" wrapText="1"/>
    </xf>
    <xf numFmtId="0" fontId="0" fillId="0" borderId="0" applyAlignment="1" pivotButton="0" quotePrefix="0" xfId="0">
      <alignment wrapText="1"/>
    </xf>
    <xf numFmtId="0" fontId="0" fillId="4" borderId="1" applyAlignment="1" pivotButton="0" quotePrefix="0" xfId="0">
      <alignment horizontal="left" vertical="center" wrapText="1"/>
    </xf>
    <xf numFmtId="0" fontId="0" fillId="3" borderId="1" applyAlignment="1" pivotButton="0" quotePrefix="0" xfId="0">
      <alignment horizontal="center" vertical="top" wrapText="1"/>
    </xf>
    <xf numFmtId="0" fontId="0" fillId="0" borderId="0" applyAlignment="1" pivotButton="0" quotePrefix="0" xfId="0">
      <alignment horizontal="left" vertical="top" wrapText="1"/>
    </xf>
    <xf numFmtId="0" fontId="9" fillId="5"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center" vertical="top"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2" applyAlignment="1" pivotButton="0" quotePrefix="0" xfId="0">
      <alignment horizontal="center" wrapText="1"/>
    </xf>
    <xf numFmtId="0" fontId="0" fillId="0" borderId="0" applyAlignment="1" pivotButton="0" quotePrefix="0" xfId="0">
      <alignment horizontal="center" wrapText="1"/>
    </xf>
    <xf numFmtId="0" fontId="0" fillId="0" borderId="2" applyAlignment="1" pivotButton="0" quotePrefix="0" xfId="0">
      <alignment horizontal="center"/>
    </xf>
    <xf numFmtId="0" fontId="0" fillId="0" borderId="0" applyAlignment="1" pivotButton="0" quotePrefix="0" xfId="0">
      <alignment horizontal="center"/>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0" fillId="0" borderId="2" applyAlignment="1" pivotButton="0" quotePrefix="0" xfId="0">
      <alignment horizontal="center" vertical="center"/>
    </xf>
    <xf numFmtId="0" fontId="0" fillId="0" borderId="0" applyAlignment="1" pivotButton="0" quotePrefix="0" xfId="0">
      <alignment horizontal="center" vertical="center"/>
    </xf>
    <xf numFmtId="0" fontId="0" fillId="0" borderId="2"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0"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layout/>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0%</formatCode>
                <ptCount val="17"/>
                <pt idx="0">
                  <v>0</v>
                </pt>
                <pt idx="1">
                  <v>0</v>
                </pt>
                <pt idx="2">
                  <v>0</v>
                </pt>
                <pt idx="3">
                  <v>0</v>
                </pt>
                <pt idx="4">
                  <v>0</v>
                </pt>
                <pt idx="5">
                  <v>0</v>
                </pt>
                <pt idx="6">
                  <v>0</v>
                </pt>
                <pt idx="7">
                  <v>0</v>
                </pt>
                <pt idx="8">
                  <v>0</v>
                </pt>
                <pt idx="9">
                  <v>0</v>
                </pt>
                <pt idx="10">
                  <v>0</v>
                </pt>
                <pt idx="11">
                  <v>0</v>
                </pt>
                <pt idx="12">
                  <v>0</v>
                </pt>
                <pt idx="13">
                  <v>0</v>
                </pt>
                <pt idx="14">
                  <v>0</v>
                </pt>
                <pt idx="15">
                  <formatCode>General</formatCode>
                  <v>0</v>
                </pt>
                <pt idx="16">
                  <formatCode>General</formatCode>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0%</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0%</formatCode>
                <ptCount val="16"/>
                <pt idx="0">
                  <v>0</v>
                </pt>
                <pt idx="1">
                  <v>0</v>
                </pt>
                <pt idx="2">
                  <v>0</v>
                </pt>
                <pt idx="3">
                  <v>0</v>
                </pt>
                <pt idx="4">
                  <v>0</v>
                </pt>
                <pt idx="5">
                  <v>0</v>
                </pt>
                <pt idx="6">
                  <v>0</v>
                </pt>
                <pt idx="7">
                  <v>0</v>
                </pt>
                <pt idx="8">
                  <formatCode>General</formatCode>
                  <v>0</v>
                </pt>
                <pt idx="9">
                  <v>0</v>
                </pt>
                <pt idx="10">
                  <v>0</v>
                </pt>
                <pt idx="11">
                  <v>0</v>
                </pt>
                <pt idx="12">
                  <v>0.125</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0%</formatCode>
                <ptCount val="17"/>
                <pt idx="0">
                  <v>0</v>
                </pt>
                <pt idx="1">
                  <v>0</v>
                </pt>
                <pt idx="2">
                  <v>0</v>
                </pt>
                <pt idx="3">
                  <v>0</v>
                </pt>
                <pt idx="4">
                  <v>0</v>
                </pt>
                <pt idx="5">
                  <v>0</v>
                </pt>
                <pt idx="6">
                  <v>0</v>
                </pt>
                <pt idx="7">
                  <v>0</v>
                </pt>
                <pt idx="8">
                  <v>0</v>
                </pt>
                <pt idx="9">
                  <v>0</v>
                </pt>
                <pt idx="10">
                  <v>0</v>
                </pt>
                <pt idx="11">
                  <v>0</v>
                </pt>
                <pt idx="12">
                  <v>0.04761904761904762</v>
                </pt>
                <pt idx="13">
                  <v>0</v>
                </pt>
                <pt idx="14">
                  <v>0</v>
                </pt>
                <pt idx="15">
                  <v>0</v>
                </pt>
                <pt idx="16">
                  <v>0</v>
                </pt>
              </numCache>
            </numRef>
          </val>
        </ser>
        <dLbls>
          <showLegendKey val="0"/>
          <showVal val="0"/>
          <showCatName val="0"/>
          <showSerName val="0"/>
          <showPercent val="0"/>
          <showBubbleSize val="0"/>
        </dLbls>
        <gapWidth val="100"/>
        <axId val="28005530"/>
        <axId val="73737639"/>
      </barChart>
      <catAx>
        <axId val="28005530"/>
        <scaling>
          <orientation val="minMax"/>
        </scaling>
        <delete val="0"/>
        <axPos val="l"/>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crossAx val="73737639"/>
        <crosses val="autoZero"/>
        <auto val="1"/>
        <lblAlgn val="ctr"/>
        <lblOffset val="100"/>
        <noMultiLvlLbl val="0"/>
      </catAx>
      <valAx>
        <axId val="73737639"/>
        <scaling>
          <orientation val="minMax"/>
        </scaling>
        <delete val="0"/>
        <axPos val="b"/>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crossAx val="2800553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pt-PT"/>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38880</colOff>
      <row>24</row>
      <rowOff>10440</rowOff>
    </from>
    <to>
      <col>13</col>
      <colOff>270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3"/>
  <sheetViews>
    <sheetView showGridLines="0" topLeftCell="A4" zoomScale="113" zoomScaleNormal="75" workbookViewId="0">
      <selection activeCell="A54" sqref="A54"/>
    </sheetView>
  </sheetViews>
  <sheetFormatPr baseColWidth="10" defaultColWidth="8.5" defaultRowHeight="15"/>
  <cols>
    <col width="34" customWidth="1" min="1" max="1"/>
    <col width="11" customWidth="1" min="2" max="13"/>
  </cols>
  <sheetData>
    <row r="1" ht="36" customHeight="1">
      <c r="A1" s="38" t="inlineStr">
        <is>
          <t>OWASP ASVS 5.0 – Compliance Tracker</t>
        </is>
      </c>
    </row>
    <row r="2" ht="20" customHeight="1">
      <c r="A2" s="39" t="n"/>
    </row>
    <row r="3" ht="18" customHeight="1">
      <c r="A3" s="40" t="n"/>
      <c r="C3" s="1" t="n"/>
      <c r="E3" s="1" t="n"/>
      <c r="G3" s="1" t="n"/>
      <c r="I3" s="1" t="n"/>
      <c r="K3" s="1" t="n"/>
      <c r="M3" s="1" t="n"/>
      <c r="O3" s="1" t="n"/>
    </row>
    <row r="4"/>
    <row r="5" ht="32" customHeight="1">
      <c r="A5" s="2" t="inlineStr">
        <is>
          <t>Chapter</t>
        </is>
      </c>
      <c r="B5" s="2" t="inlineStr">
        <is>
          <t>Total
Reqs</t>
        </is>
      </c>
      <c r="C5" s="2" t="inlineStr">
        <is>
          <t>L1
Total</t>
        </is>
      </c>
      <c r="D5" s="2" t="inlineStr">
        <is>
          <t>L1
Compliant</t>
        </is>
      </c>
      <c r="E5" s="2" t="inlineStr">
        <is>
          <t>L1
%</t>
        </is>
      </c>
      <c r="F5" s="2" t="inlineStr">
        <is>
          <t>L2
Total</t>
        </is>
      </c>
      <c r="G5" s="2" t="inlineStr">
        <is>
          <t>L2
Compliant</t>
        </is>
      </c>
      <c r="H5" s="2" t="inlineStr">
        <is>
          <t>L2
%</t>
        </is>
      </c>
      <c r="I5" s="2" t="inlineStr">
        <is>
          <t>L3
Total</t>
        </is>
      </c>
      <c r="J5" s="2" t="inlineStr">
        <is>
          <t>L3
Compliant</t>
        </is>
      </c>
      <c r="K5" s="2" t="inlineStr">
        <is>
          <t>L3
%</t>
        </is>
      </c>
      <c r="L5" s="2" t="inlineStr">
        <is>
          <t>Overall
Compliant</t>
        </is>
      </c>
      <c r="M5" s="2" t="inlineStr">
        <is>
          <t>Overall
%</t>
        </is>
      </c>
    </row>
    <row r="6" ht="18" customHeight="1">
      <c r="A6" s="3" t="inlineStr">
        <is>
          <t>V1 – Encoding and Sanitization</t>
        </is>
      </c>
      <c r="B6" s="4" t="n">
        <v>30</v>
      </c>
      <c r="C6" s="4" t="n">
        <v>8</v>
      </c>
      <c r="D6" s="4" t="n">
        <v>0</v>
      </c>
      <c r="E6" s="5" t="n">
        <v>0</v>
      </c>
      <c r="F6" s="4" t="n">
        <v>19</v>
      </c>
      <c r="G6" s="4" t="n">
        <v>0</v>
      </c>
      <c r="H6" s="5" t="n">
        <v>0</v>
      </c>
      <c r="I6" s="4" t="n">
        <v>3</v>
      </c>
      <c r="J6" s="4" t="n">
        <v>0</v>
      </c>
      <c r="K6" s="5" t="n">
        <v>0</v>
      </c>
      <c r="L6" s="4" t="n">
        <v>0</v>
      </c>
      <c r="M6" s="5" t="n">
        <v>0</v>
      </c>
    </row>
    <row r="7" ht="18" customHeight="1">
      <c r="A7" s="6" t="inlineStr">
        <is>
          <t>V2 – Validation and Business Logic</t>
        </is>
      </c>
      <c r="B7" s="7" t="n">
        <v>13</v>
      </c>
      <c r="C7" s="7" t="n">
        <v>4</v>
      </c>
      <c r="D7" s="7" t="n">
        <v>2</v>
      </c>
      <c r="E7" s="8" t="n">
        <v>0.5</v>
      </c>
      <c r="F7" s="7" t="n">
        <v>7</v>
      </c>
      <c r="G7" s="7" t="n">
        <v>3</v>
      </c>
      <c r="H7" s="8" t="n">
        <v>0.4285714285714285</v>
      </c>
      <c r="I7" s="7" t="n">
        <v>2</v>
      </c>
      <c r="J7" s="7" t="n">
        <v>0</v>
      </c>
      <c r="K7" s="8" t="n">
        <v>0</v>
      </c>
      <c r="L7" s="7" t="n">
        <v>5</v>
      </c>
      <c r="M7" s="8" t="n">
        <v>0.3846153846153846</v>
      </c>
    </row>
    <row r="8" ht="18" customHeight="1">
      <c r="A8" s="3" t="inlineStr">
        <is>
          <t>V3 – Web Frontend Security</t>
        </is>
      </c>
      <c r="B8" s="4" t="n">
        <v>31</v>
      </c>
      <c r="C8" s="4" t="n">
        <v>8</v>
      </c>
      <c r="D8" s="4" t="n">
        <v>0</v>
      </c>
      <c r="E8" s="5" t="n">
        <v>0</v>
      </c>
      <c r="F8" s="4" t="n">
        <v>11</v>
      </c>
      <c r="G8" s="4" t="n">
        <v>0</v>
      </c>
      <c r="H8" s="5" t="n">
        <v>0</v>
      </c>
      <c r="I8" s="4" t="n">
        <v>12</v>
      </c>
      <c r="J8" s="4" t="n">
        <v>0</v>
      </c>
      <c r="K8" s="5" t="n">
        <v>0</v>
      </c>
      <c r="L8" s="4" t="n">
        <v>0</v>
      </c>
      <c r="M8" s="5" t="n">
        <v>0</v>
      </c>
    </row>
    <row r="9" ht="18" customHeight="1">
      <c r="A9" s="6" t="inlineStr">
        <is>
          <t>V4 – API and Web Service</t>
        </is>
      </c>
      <c r="B9" s="7" t="n">
        <v>16</v>
      </c>
      <c r="C9" s="7" t="n">
        <v>2</v>
      </c>
      <c r="D9" s="7" t="n">
        <v>1</v>
      </c>
      <c r="E9" s="8" t="n">
        <v>0.5</v>
      </c>
      <c r="F9" s="7" t="n">
        <v>8</v>
      </c>
      <c r="G9" s="7" t="n">
        <v>0</v>
      </c>
      <c r="H9" s="8" t="n">
        <v>0</v>
      </c>
      <c r="I9" s="7" t="n">
        <v>6</v>
      </c>
      <c r="J9" s="7" t="n">
        <v>0</v>
      </c>
      <c r="K9" s="8" t="n">
        <v>0</v>
      </c>
      <c r="L9" s="7" t="n">
        <v>1</v>
      </c>
      <c r="M9" s="8" t="n">
        <v>0.0625</v>
      </c>
    </row>
    <row r="10" ht="18" customHeight="1">
      <c r="A10" s="3" t="inlineStr">
        <is>
          <t>V5 – File Handling</t>
        </is>
      </c>
      <c r="B10" s="4" t="n">
        <v>13</v>
      </c>
      <c r="C10" s="4" t="n">
        <v>4</v>
      </c>
      <c r="D10" s="4" t="n">
        <v>4</v>
      </c>
      <c r="E10" s="5" t="n">
        <v>1</v>
      </c>
      <c r="F10" s="4" t="n">
        <v>5</v>
      </c>
      <c r="G10" s="4" t="n">
        <v>2</v>
      </c>
      <c r="H10" s="5" t="n">
        <v>0.4</v>
      </c>
      <c r="I10" s="4" t="n">
        <v>4</v>
      </c>
      <c r="J10" s="4" t="n">
        <v>0</v>
      </c>
      <c r="K10" s="5" t="n">
        <v>0</v>
      </c>
      <c r="L10" s="4" t="n">
        <v>6</v>
      </c>
      <c r="M10" s="5" t="n">
        <v>0.4615384615384616</v>
      </c>
    </row>
    <row r="11" ht="18" customHeight="1">
      <c r="A11" s="6" t="inlineStr">
        <is>
          <t>V6 – Authentication</t>
        </is>
      </c>
      <c r="B11" s="7" t="n">
        <v>47</v>
      </c>
      <c r="C11" s="7" t="n">
        <v>13</v>
      </c>
      <c r="D11" s="7" t="n">
        <v>5</v>
      </c>
      <c r="E11" s="8" t="n">
        <v>0.3846153846153846</v>
      </c>
      <c r="F11" s="7" t="n">
        <v>22</v>
      </c>
      <c r="G11" s="7" t="n">
        <v>2</v>
      </c>
      <c r="H11" s="8" t="n">
        <v>0.09090909090909091</v>
      </c>
      <c r="I11" s="7" t="n">
        <v>12</v>
      </c>
      <c r="J11" s="7" t="n">
        <v>0</v>
      </c>
      <c r="K11" s="8" t="n">
        <v>0</v>
      </c>
      <c r="L11" s="7" t="n">
        <v>7</v>
      </c>
      <c r="M11" s="8" t="n">
        <v>0.148936170212766</v>
      </c>
    </row>
    <row r="12" ht="18" customHeight="1">
      <c r="A12" s="3" t="inlineStr">
        <is>
          <t>V7 – Session Management</t>
        </is>
      </c>
      <c r="B12" s="4" t="n">
        <v>19</v>
      </c>
      <c r="C12" s="4" t="n">
        <v>6</v>
      </c>
      <c r="D12" s="4" t="n">
        <v>2</v>
      </c>
      <c r="E12" s="5" t="n">
        <v>0.3333333333333333</v>
      </c>
      <c r="F12" s="4" t="n">
        <v>12</v>
      </c>
      <c r="G12" s="4" t="n">
        <v>2</v>
      </c>
      <c r="H12" s="5" t="n">
        <v>0.1666666666666667</v>
      </c>
      <c r="I12" s="4" t="n">
        <v>1</v>
      </c>
      <c r="J12" s="4" t="n">
        <v>0</v>
      </c>
      <c r="K12" s="5" t="n">
        <v>0</v>
      </c>
      <c r="L12" s="4" t="n">
        <v>4</v>
      </c>
      <c r="M12" s="5" t="n">
        <v>0.2105263157894737</v>
      </c>
    </row>
    <row r="13" ht="18" customHeight="1">
      <c r="A13" s="6" t="inlineStr">
        <is>
          <t>V8 – Authorization</t>
        </is>
      </c>
      <c r="B13" s="7" t="n">
        <v>13</v>
      </c>
      <c r="C13" s="7" t="n">
        <v>4</v>
      </c>
      <c r="D13" s="7" t="n">
        <v>2</v>
      </c>
      <c r="E13" s="8" t="n">
        <v>0.5</v>
      </c>
      <c r="F13" s="7" t="n">
        <v>3</v>
      </c>
      <c r="G13" s="7" t="n">
        <v>1</v>
      </c>
      <c r="H13" s="8" t="n">
        <v>0.3333333333333333</v>
      </c>
      <c r="I13" s="7" t="n">
        <v>6</v>
      </c>
      <c r="J13" s="7" t="n">
        <v>0</v>
      </c>
      <c r="K13" s="8" t="n">
        <v>0</v>
      </c>
      <c r="L13" s="7" t="n">
        <v>3</v>
      </c>
      <c r="M13" s="8" t="n">
        <v>0.2307692307692308</v>
      </c>
    </row>
    <row r="14" ht="18" customHeight="1">
      <c r="A14" s="3" t="inlineStr">
        <is>
          <t>V9 – Self-contained Tokens</t>
        </is>
      </c>
      <c r="B14" s="4" t="n">
        <v>7</v>
      </c>
      <c r="C14" s="4" t="n">
        <v>4</v>
      </c>
      <c r="D14" s="4" t="n">
        <v>4</v>
      </c>
      <c r="E14" s="5" t="n">
        <v>1</v>
      </c>
      <c r="F14" s="4" t="n">
        <v>3</v>
      </c>
      <c r="G14" s="4" t="n">
        <v>0</v>
      </c>
      <c r="H14" s="5" t="n">
        <v>0</v>
      </c>
      <c r="I14" s="4" t="n">
        <v>0</v>
      </c>
      <c r="J14" s="4" t="n">
        <v>0</v>
      </c>
      <c r="K14" s="4" t="n">
        <v>0</v>
      </c>
      <c r="L14" s="4" t="n">
        <v>4</v>
      </c>
      <c r="M14" s="5" t="n">
        <v>0.5714285714285714</v>
      </c>
    </row>
    <row r="15" ht="18" customHeight="1">
      <c r="A15" s="6" t="inlineStr">
        <is>
          <t>V10 – OAuth and OIDC</t>
        </is>
      </c>
      <c r="B15" s="7" t="n">
        <v>36</v>
      </c>
      <c r="C15" s="7" t="n">
        <v>5</v>
      </c>
      <c r="D15" s="7" t="n">
        <v>0</v>
      </c>
      <c r="E15" s="8" t="n">
        <v>0</v>
      </c>
      <c r="F15" s="7" t="n">
        <v>24</v>
      </c>
      <c r="G15" s="7" t="n">
        <v>0</v>
      </c>
      <c r="H15" s="8" t="n">
        <v>0</v>
      </c>
      <c r="I15" s="7" t="n">
        <v>7</v>
      </c>
      <c r="J15" s="7" t="n">
        <v>0</v>
      </c>
      <c r="K15" s="8" t="n">
        <v>0</v>
      </c>
      <c r="L15" s="7" t="n">
        <v>0</v>
      </c>
      <c r="M15" s="8" t="n">
        <v>0</v>
      </c>
    </row>
    <row r="16" ht="18" customHeight="1">
      <c r="A16" s="3" t="inlineStr">
        <is>
          <t>V11 – Cryptography</t>
        </is>
      </c>
      <c r="B16" s="4" t="n">
        <v>24</v>
      </c>
      <c r="C16" s="4" t="n">
        <v>3</v>
      </c>
      <c r="D16" s="4" t="n">
        <v>3</v>
      </c>
      <c r="E16" s="5" t="n">
        <v>1</v>
      </c>
      <c r="F16" s="4" t="n">
        <v>11</v>
      </c>
      <c r="G16" s="4" t="n">
        <v>6</v>
      </c>
      <c r="H16" s="5" t="n">
        <v>0.5454545454545454</v>
      </c>
      <c r="I16" s="4" t="n">
        <v>10</v>
      </c>
      <c r="J16" s="4" t="n">
        <v>1</v>
      </c>
      <c r="K16" s="5" t="n">
        <v>0.1</v>
      </c>
      <c r="L16" s="4" t="n">
        <v>10</v>
      </c>
      <c r="M16" s="5" t="n">
        <v>0.4166666666666667</v>
      </c>
    </row>
    <row r="17" ht="18" customHeight="1">
      <c r="A17" s="6" t="inlineStr">
        <is>
          <t>V12 – Secure Communication</t>
        </is>
      </c>
      <c r="B17" s="7" t="n">
        <v>12</v>
      </c>
      <c r="C17" s="7" t="n">
        <v>3</v>
      </c>
      <c r="D17" s="7" t="n">
        <v>0</v>
      </c>
      <c r="E17" s="8" t="n">
        <v>0</v>
      </c>
      <c r="F17" s="7" t="n">
        <v>6</v>
      </c>
      <c r="G17" s="7" t="n">
        <v>0</v>
      </c>
      <c r="H17" s="8" t="n">
        <v>0</v>
      </c>
      <c r="I17" s="7" t="n">
        <v>3</v>
      </c>
      <c r="J17" s="7" t="n">
        <v>0</v>
      </c>
      <c r="K17" s="8" t="n">
        <v>0</v>
      </c>
      <c r="L17" s="7" t="n">
        <v>0</v>
      </c>
      <c r="M17" s="8" t="n">
        <v>0</v>
      </c>
    </row>
    <row r="18" ht="18" customHeight="1">
      <c r="A18" s="3" t="inlineStr">
        <is>
          <t>V13 – Configuration</t>
        </is>
      </c>
      <c r="B18" s="4" t="n">
        <v>21</v>
      </c>
      <c r="C18" s="4" t="n">
        <v>1</v>
      </c>
      <c r="D18" s="4" t="n">
        <v>0</v>
      </c>
      <c r="E18" s="5" t="n">
        <v>0</v>
      </c>
      <c r="F18" s="4" t="n">
        <v>12</v>
      </c>
      <c r="G18" s="4" t="n">
        <v>3</v>
      </c>
      <c r="H18" s="5" t="n">
        <v>0.25</v>
      </c>
      <c r="I18" s="4" t="n">
        <v>8</v>
      </c>
      <c r="J18" s="4" t="n">
        <v>1</v>
      </c>
      <c r="K18" s="5" t="n">
        <v>0.125</v>
      </c>
      <c r="L18" s="4" t="n">
        <v>4</v>
      </c>
      <c r="M18" s="5" t="n">
        <v>0.1904761904761905</v>
      </c>
    </row>
    <row r="19" ht="18" customHeight="1">
      <c r="A19" s="6" t="inlineStr">
        <is>
          <t>V14 – Data Protection</t>
        </is>
      </c>
      <c r="B19" s="7" t="n">
        <v>13</v>
      </c>
      <c r="C19" s="7" t="n">
        <v>2</v>
      </c>
      <c r="D19" s="7" t="n">
        <v>0</v>
      </c>
      <c r="E19" s="8" t="n">
        <v>0</v>
      </c>
      <c r="F19" s="7" t="n">
        <v>7</v>
      </c>
      <c r="G19" s="7" t="n">
        <v>1</v>
      </c>
      <c r="H19" s="8" t="n">
        <v>0.1428571428571428</v>
      </c>
      <c r="I19" s="7" t="n">
        <v>4</v>
      </c>
      <c r="J19" s="7" t="n">
        <v>0</v>
      </c>
      <c r="K19" s="8" t="n">
        <v>0</v>
      </c>
      <c r="L19" s="7" t="n">
        <v>1</v>
      </c>
      <c r="M19" s="8" t="n">
        <v>0.07692307692307693</v>
      </c>
    </row>
    <row r="20" ht="18" customHeight="1">
      <c r="A20" s="3" t="inlineStr">
        <is>
          <t>V15 – Secure Coding and Architecture</t>
        </is>
      </c>
      <c r="B20" s="4" t="n">
        <v>21</v>
      </c>
      <c r="C20" s="4" t="n">
        <v>3</v>
      </c>
      <c r="D20" s="4" t="n">
        <v>1</v>
      </c>
      <c r="E20" s="5" t="n">
        <v>0.3333333333333333</v>
      </c>
      <c r="F20" s="4" t="n">
        <v>10</v>
      </c>
      <c r="G20" s="4" t="n">
        <v>1</v>
      </c>
      <c r="H20" s="5" t="n">
        <v>0.1</v>
      </c>
      <c r="I20" s="4" t="n">
        <v>8</v>
      </c>
      <c r="J20" s="4" t="n">
        <v>0</v>
      </c>
      <c r="K20" s="5" t="n">
        <v>0</v>
      </c>
      <c r="L20" s="4" t="n">
        <v>2</v>
      </c>
      <c r="M20" s="5" t="n">
        <v>0.09523809523809523</v>
      </c>
    </row>
    <row r="21" ht="18" customHeight="1">
      <c r="A21" s="6" t="inlineStr">
        <is>
          <t>V16 – Security Logging and Error Handling</t>
        </is>
      </c>
      <c r="B21" s="7" t="n">
        <v>17</v>
      </c>
      <c r="C21" s="7" t="n">
        <v>0</v>
      </c>
      <c r="D21" s="7" t="n">
        <v>0</v>
      </c>
      <c r="E21" s="7" t="n">
        <v>0</v>
      </c>
      <c r="F21" s="7" t="n">
        <v>16</v>
      </c>
      <c r="G21" s="7" t="n">
        <v>2</v>
      </c>
      <c r="H21" s="8" t="n">
        <v>0.125</v>
      </c>
      <c r="I21" s="7" t="n">
        <v>1</v>
      </c>
      <c r="J21" s="7" t="n">
        <v>0</v>
      </c>
      <c r="K21" s="8" t="n">
        <v>0</v>
      </c>
      <c r="L21" s="7" t="n">
        <v>2</v>
      </c>
      <c r="M21" s="8" t="n">
        <v>0.1176470588235294</v>
      </c>
    </row>
    <row r="22" ht="18" customHeight="1">
      <c r="A22" s="3" t="inlineStr">
        <is>
          <t>V17 – WebRTC</t>
        </is>
      </c>
      <c r="B22" s="4" t="n">
        <v>12</v>
      </c>
      <c r="C22" s="4" t="n">
        <v>0</v>
      </c>
      <c r="D22" s="4" t="inlineStr">
        <is>
          <t>N/A</t>
        </is>
      </c>
      <c r="E22" s="4" t="inlineStr">
        <is>
          <t>N/A</t>
        </is>
      </c>
      <c r="F22" s="4" t="n">
        <v>7</v>
      </c>
      <c r="G22" s="4">
        <f>COUNTIFS('V17 - WebRTC'!$F$2:$F$16,"Compliant",'V17 - WebRTC'!$E$2:$E$16,2)</f>
        <v/>
      </c>
      <c r="H22" s="5">
        <f>IF(F22=0,"",G22/F22)</f>
        <v/>
      </c>
      <c r="I22" s="4" t="n">
        <v>5</v>
      </c>
      <c r="J22" s="4">
        <f>COUNTIFS('V17 - WebRTC'!$F$2:$F$16,"Compliant",'V17 - WebRTC'!$E$2:$E$16,3)</f>
        <v/>
      </c>
      <c r="K22" s="5">
        <f>IF(I22=0,"",J22/I22)</f>
        <v/>
      </c>
      <c r="L22" s="4">
        <f>COUNTIF('V17 - WebRTC'!$F$2:$F$16,"Compliant")</f>
        <v/>
      </c>
      <c r="M22" s="5">
        <f>IF(B22=0,"",L22/B22)</f>
        <v/>
      </c>
    </row>
    <row r="23" ht="22" customHeight="1">
      <c r="A23" s="9" t="inlineStr">
        <is>
          <t>TOTAL</t>
        </is>
      </c>
      <c r="B23" s="10" t="n">
        <v>345</v>
      </c>
      <c r="C23" s="10" t="n">
        <v>70</v>
      </c>
      <c r="D23" s="10" t="n">
        <v>24</v>
      </c>
      <c r="E23" s="11" t="n">
        <v>0.3428571428571429</v>
      </c>
      <c r="F23" s="10" t="n">
        <v>183</v>
      </c>
      <c r="G23" s="10" t="n">
        <v>23</v>
      </c>
      <c r="H23" s="11" t="n">
        <v>0.1256830601092896</v>
      </c>
      <c r="I23" s="10" t="n">
        <v>92</v>
      </c>
      <c r="J23" s="10" t="n">
        <v>2</v>
      </c>
      <c r="K23" s="11" t="n">
        <v>0.02173913043478261</v>
      </c>
      <c r="L23" s="10" t="n">
        <v>49</v>
      </c>
      <c r="M23" s="11" t="n">
        <v>0.1420289855072464</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5" footer="0.511805555555555"/>
  <pageSetup orientation="portrait" firstPageNumber="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6"/>
  <sheetViews>
    <sheetView zoomScaleNormal="75" workbookViewId="0">
      <pane ySplit="1" topLeftCell="A2" activePane="bottomLeft" state="frozen"/>
      <selection pane="bottomLeft" activeCell="D41" sqref="D41"/>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V1.1</t>
        </is>
      </c>
      <c r="B2" s="13" t="inlineStr">
        <is>
          <t>Encoding and Sanitization Architecture</t>
        </is>
      </c>
      <c r="C2" s="13" t="n"/>
      <c r="D2" s="13" t="n"/>
      <c r="E2" s="13" t="n"/>
      <c r="F2" s="13" t="n"/>
      <c r="G2" s="13" t="n"/>
      <c r="H2" s="13" t="n"/>
    </row>
    <row r="3" ht="30" customHeight="1">
      <c r="A3" s="14" t="inlineStr">
        <is>
          <t>V1.1</t>
        </is>
      </c>
      <c r="B3" s="14" t="inlineStr">
        <is>
          <t>Encoding and Sanitization Architecture</t>
        </is>
      </c>
      <c r="C3" s="15" t="inlineStr">
        <is>
          <t>V1.1.1</t>
        </is>
      </c>
      <c r="D3" s="16"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17" t="n">
        <v>2</v>
      </c>
      <c r="F3" s="18" t="inlineStr">
        <is>
          <t>Not Started</t>
        </is>
      </c>
      <c r="G3" s="28" t="inlineStr">
        <is>
          <t>Applicable to Kryptos due to the processing of API request data and imported files.</t>
        </is>
      </c>
      <c r="H3" s="16" t="n"/>
    </row>
    <row r="4" ht="30" customHeight="1">
      <c r="A4" s="19" t="inlineStr">
        <is>
          <t>V1.1</t>
        </is>
      </c>
      <c r="B4" s="19" t="inlineStr">
        <is>
          <t>Encoding and Sanitization Architecture</t>
        </is>
      </c>
      <c r="C4" s="20" t="inlineStr">
        <is>
          <t>V1.1.2</t>
        </is>
      </c>
      <c r="D4" s="21" t="inlineStr">
        <is>
          <t>Verify that the application performs output encoding and escaping either as a final step before being used by the interpreter for which it is intended or by the interpreter itself.</t>
        </is>
      </c>
      <c r="E4" s="17" t="n">
        <v>2</v>
      </c>
      <c r="F4" s="18" t="inlineStr">
        <is>
          <t>Not Started</t>
        </is>
      </c>
      <c r="G4" s="21" t="inlineStr">
        <is>
          <t>Applicable to Kryptos due to ensure the backend automatically escapes all outgoing data</t>
        </is>
      </c>
      <c r="H4" s="21" t="n"/>
    </row>
    <row r="5" ht="18" customHeight="1">
      <c r="A5" s="13" t="inlineStr">
        <is>
          <t>V1.2</t>
        </is>
      </c>
      <c r="B5" s="13" t="inlineStr">
        <is>
          <t>Injection Prevention</t>
        </is>
      </c>
      <c r="C5" s="13" t="n"/>
      <c r="D5" s="13" t="n"/>
      <c r="E5" s="13" t="n"/>
      <c r="F5" s="13" t="n"/>
      <c r="G5" s="29" t="n"/>
      <c r="H5" s="13" t="n"/>
    </row>
    <row r="6" ht="30" customHeight="1">
      <c r="A6" s="14" t="inlineStr">
        <is>
          <t>V1.2</t>
        </is>
      </c>
      <c r="B6" s="14" t="inlineStr">
        <is>
          <t>Injection Prevention</t>
        </is>
      </c>
      <c r="C6" s="15" t="inlineStr">
        <is>
          <t>V1.2.1</t>
        </is>
      </c>
      <c r="D6" s="16"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22" t="n">
        <v>1</v>
      </c>
      <c r="F6" s="18" t="inlineStr">
        <is>
          <t>Not Applicable</t>
        </is>
      </c>
      <c r="G6" s="16" t="inlineStr">
        <is>
          <t>x</t>
        </is>
      </c>
      <c r="H6" s="16" t="n"/>
    </row>
    <row r="7" ht="30" customHeight="1">
      <c r="A7" s="19" t="inlineStr">
        <is>
          <t>V1.2</t>
        </is>
      </c>
      <c r="B7" s="19" t="inlineStr">
        <is>
          <t>Injection Prevention</t>
        </is>
      </c>
      <c r="C7" s="20" t="inlineStr">
        <is>
          <t>V1.2.2</t>
        </is>
      </c>
      <c r="D7" s="21" t="inlineStr">
        <is>
          <t>Verify that when dynamically building URLs, untrusted data is encoded according to its context (e.g., URL encoding or base64url encoding for query or path parameters). Ensure that only safe URL protocols are permitted (e.g., disallow javascript: or data:).</t>
        </is>
      </c>
      <c r="E7" s="22" t="n">
        <v>1</v>
      </c>
      <c r="F7" s="18" t="inlineStr">
        <is>
          <t>Not Applicable</t>
        </is>
      </c>
      <c r="G7" s="21" t="inlineStr">
        <is>
          <t>Applicable to Kryptos due to the dynamic generation of export URLs that include parameters like the userID</t>
        </is>
      </c>
      <c r="H7" s="21" t="n"/>
    </row>
    <row r="8" ht="30" customHeight="1">
      <c r="A8" s="14" t="inlineStr">
        <is>
          <t>V1.2</t>
        </is>
      </c>
      <c r="B8" s="14" t="inlineStr">
        <is>
          <t>Injection Prevention</t>
        </is>
      </c>
      <c r="C8" s="15" t="inlineStr">
        <is>
          <t>V1.2.3</t>
        </is>
      </c>
      <c r="D8" s="16" t="inlineStr">
        <is>
          <t>Verify that output encoding or escaping is used when dynamically building JavaScript content (including JSON), to avoid changing the message or document structure (to avoid JavaScript and JSON injection).</t>
        </is>
      </c>
      <c r="E8" s="22" t="n">
        <v>1</v>
      </c>
      <c r="F8" s="18" t="inlineStr">
        <is>
          <t>Not Started</t>
        </is>
      </c>
      <c r="G8" s="16" t="inlineStr">
        <is>
          <t>Applicable to Kryptos due to the API's continuous generation of dynamic JSON responses; need to enforce safe JSON serialization and avoid manual string concatenation.</t>
        </is>
      </c>
      <c r="H8" s="16" t="n"/>
    </row>
    <row r="9" ht="30" customHeight="1">
      <c r="A9" s="19" t="inlineStr">
        <is>
          <t>V1.2</t>
        </is>
      </c>
      <c r="B9" s="19" t="inlineStr">
        <is>
          <t>Injection Prevention</t>
        </is>
      </c>
      <c r="C9" s="20" t="inlineStr">
        <is>
          <t>V1.2.4</t>
        </is>
      </c>
      <c r="D9" s="21"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22" t="n">
        <v>1</v>
      </c>
      <c r="F9" s="18" t="inlineStr">
        <is>
          <t>Not Started</t>
        </is>
      </c>
      <c r="G9" s="21" t="inlineStr">
        <is>
          <t>Applicable to Kryptos due to database interactions; need to strictly enforce parameterized queries or secure ORMs to prevent SQL injection.</t>
        </is>
      </c>
      <c r="H9" s="21" t="n"/>
    </row>
    <row r="10" ht="30" customHeight="1">
      <c r="A10" s="14" t="inlineStr">
        <is>
          <t>V1.2</t>
        </is>
      </c>
      <c r="B10" s="14" t="inlineStr">
        <is>
          <t>Injection Prevention</t>
        </is>
      </c>
      <c r="C10" s="15" t="inlineStr">
        <is>
          <t>V1.2.5</t>
        </is>
      </c>
      <c r="D10" s="16" t="inlineStr">
        <is>
          <t>Verify that the application protects against OS command injection and that operating system calls use parameterized OS queries or use contextual command line output encoding.</t>
        </is>
      </c>
      <c r="E10" s="22" t="n">
        <v>1</v>
      </c>
      <c r="F10" s="18" t="inlineStr">
        <is>
          <t>Not Started</t>
        </is>
      </c>
      <c r="G10" s="16" t="inlineStr">
        <is>
          <t>Applicable to Kryptos due to OS-level temporary file handling; need to ensure any system calls avoid direct concatenation to prevent command injection.</t>
        </is>
      </c>
      <c r="H10" s="16" t="n"/>
    </row>
    <row r="11" ht="30" customHeight="1">
      <c r="A11" s="19" t="inlineStr">
        <is>
          <t>V1.2</t>
        </is>
      </c>
      <c r="B11" s="19" t="inlineStr">
        <is>
          <t>Injection Prevention</t>
        </is>
      </c>
      <c r="C11" s="20" t="inlineStr">
        <is>
          <t>V1.2.6</t>
        </is>
      </c>
      <c r="D11" s="21" t="inlineStr">
        <is>
          <t>Verify that the application protects against LDAP injection vulnerabilities, or that specific security controls to prevent LDAP injection have been implemented.</t>
        </is>
      </c>
      <c r="E11" s="17" t="n">
        <v>2</v>
      </c>
      <c r="F11" s="18" t="inlineStr">
        <is>
          <t>Not Applicable</t>
        </is>
      </c>
      <c r="G11" s="21" t="n"/>
      <c r="H11" s="21" t="n"/>
    </row>
    <row r="12" ht="30" customHeight="1">
      <c r="A12" s="14" t="inlineStr">
        <is>
          <t>V1.2</t>
        </is>
      </c>
      <c r="B12" s="14" t="inlineStr">
        <is>
          <t>Injection Prevention</t>
        </is>
      </c>
      <c r="C12" s="15" t="inlineStr">
        <is>
          <t>V1.2.7</t>
        </is>
      </c>
      <c r="D12" s="16" t="inlineStr">
        <is>
          <t>Verify that the application is protected against XPath injection attacks by using query parameterization or precompiled queries.</t>
        </is>
      </c>
      <c r="E12" s="17" t="n">
        <v>2</v>
      </c>
      <c r="F12" s="18" t="inlineStr">
        <is>
          <t>Not Applicable</t>
        </is>
      </c>
      <c r="G12" s="16" t="n"/>
      <c r="H12" s="16" t="n"/>
    </row>
    <row r="13" ht="30" customHeight="1">
      <c r="A13" s="19" t="inlineStr">
        <is>
          <t>V1.2</t>
        </is>
      </c>
      <c r="B13" s="19" t="inlineStr">
        <is>
          <t>Injection Prevention</t>
        </is>
      </c>
      <c r="C13" s="20" t="inlineStr">
        <is>
          <t>V1.2.8</t>
        </is>
      </c>
      <c r="D13" s="21" t="inlineStr">
        <is>
          <t>Verify that LaTeX processors are configured securely (such as not using the "--shell-escape" flag) and an allowlist of commands is used to prevent LaTeX injection attacks.</t>
        </is>
      </c>
      <c r="E13" s="17" t="n">
        <v>2</v>
      </c>
      <c r="F13" s="18" t="inlineStr">
        <is>
          <t>Not Applicable</t>
        </is>
      </c>
      <c r="G13" s="21" t="n"/>
      <c r="H13" s="21" t="n"/>
    </row>
    <row r="14" ht="30" customHeight="1">
      <c r="A14" s="14" t="inlineStr">
        <is>
          <t>V1.2</t>
        </is>
      </c>
      <c r="B14" s="14" t="inlineStr">
        <is>
          <t>Injection Prevention</t>
        </is>
      </c>
      <c r="C14" s="15" t="inlineStr">
        <is>
          <t>V1.2.9</t>
        </is>
      </c>
      <c r="D14" s="16" t="inlineStr">
        <is>
          <t>Verify that the application escapes special characters in regular expressions (typically using a backslash) to prevent them from being misinterpreted as metacharacters.</t>
        </is>
      </c>
      <c r="E14" s="17" t="n">
        <v>2</v>
      </c>
      <c r="F14" s="18" t="inlineStr">
        <is>
          <t>Not Started</t>
        </is>
      </c>
      <c r="G14" s="16" t="inlineStr">
        <is>
          <t>Applicable to Kryptos due to regex-based input validation; need to ensure special characters are safely escaped to prevent regex injection.</t>
        </is>
      </c>
      <c r="H14" s="16" t="n"/>
    </row>
    <row r="15" ht="30" customHeight="1">
      <c r="A15" s="19" t="inlineStr">
        <is>
          <t>V1.2</t>
        </is>
      </c>
      <c r="B15" s="19" t="inlineStr">
        <is>
          <t>Injection Prevention</t>
        </is>
      </c>
      <c r="C15" s="20" t="inlineStr">
        <is>
          <t>V1.2.10</t>
        </is>
      </c>
      <c r="D15" s="21"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23" t="n">
        <v>3</v>
      </c>
      <c r="F15" s="18" t="inlineStr">
        <is>
          <t>Not Applicable</t>
        </is>
      </c>
      <c r="G15" s="21" t="n"/>
      <c r="H15" s="21" t="n"/>
    </row>
    <row r="16" ht="18" customHeight="1">
      <c r="A16" s="13" t="inlineStr">
        <is>
          <t>V1.3</t>
        </is>
      </c>
      <c r="B16" s="13" t="inlineStr">
        <is>
          <t>Sanitization</t>
        </is>
      </c>
      <c r="C16" s="13" t="n"/>
      <c r="D16" s="13" t="n"/>
      <c r="E16" s="13" t="n"/>
      <c r="F16" s="13" t="n"/>
      <c r="G16" s="13" t="n"/>
      <c r="H16" s="13" t="n"/>
    </row>
    <row r="17" ht="30" customHeight="1">
      <c r="A17" s="14" t="inlineStr">
        <is>
          <t>V1.3</t>
        </is>
      </c>
      <c r="B17" s="14" t="inlineStr">
        <is>
          <t>Sanitization</t>
        </is>
      </c>
      <c r="C17" s="15" t="inlineStr">
        <is>
          <t>V1.3.1</t>
        </is>
      </c>
      <c r="D17" s="16" t="inlineStr">
        <is>
          <t>Verify that all untrusted HTML input from WYSIWYG editors or similar is sanitized using a well-known and secure HTML sanitization library or framework feature.</t>
        </is>
      </c>
      <c r="E17" s="22" t="n">
        <v>1</v>
      </c>
      <c r="F17" s="18" t="inlineStr">
        <is>
          <t>Not Applicable</t>
        </is>
      </c>
      <c r="G17" s="16" t="n"/>
      <c r="H17" s="16" t="n"/>
    </row>
    <row r="18" ht="30" customHeight="1">
      <c r="A18" s="19" t="inlineStr">
        <is>
          <t>V1.3</t>
        </is>
      </c>
      <c r="B18" s="19" t="inlineStr">
        <is>
          <t>Sanitization</t>
        </is>
      </c>
      <c r="C18" s="20" t="inlineStr">
        <is>
          <t>V1.3.2</t>
        </is>
      </c>
      <c r="D18" s="21" t="inlineStr">
        <is>
          <t>Verify that the application avoids the use of eval() or other dynamic code execution features such as Spring Expression Language (SpEL). Where there is no alternative, any user input being included must be sanitized before being executed.</t>
        </is>
      </c>
      <c r="E18" s="22" t="n">
        <v>1</v>
      </c>
      <c r="F18" s="18" t="inlineStr">
        <is>
          <t>Not Started</t>
        </is>
      </c>
      <c r="G18" s="21" t="inlineStr">
        <is>
          <t>Applicable to Kryptos due to backend logic execution; need to strictly avoid dynamic code execution like eval() or sanitize input if unavoidable</t>
        </is>
      </c>
      <c r="H18" s="21" t="n"/>
    </row>
    <row r="19" ht="30" customHeight="1">
      <c r="A19" s="14" t="inlineStr">
        <is>
          <t>V1.3</t>
        </is>
      </c>
      <c r="B19" s="14" t="inlineStr">
        <is>
          <t>Sanitization</t>
        </is>
      </c>
      <c r="C19" s="15" t="inlineStr">
        <is>
          <t>V1.3.3</t>
        </is>
      </c>
      <c r="D19" s="16" t="inlineStr">
        <is>
          <t>Verify that data being passed to a potentially dangerous context is sanitized beforehand to enforce safety measures, such as only allowing characters which are safe for this context and trimming input which is too long.</t>
        </is>
      </c>
      <c r="E19" s="17" t="n">
        <v>2</v>
      </c>
      <c r="F19" s="18" t="inlineStr">
        <is>
          <t>Not Started</t>
        </is>
      </c>
      <c r="G19" s="16" t="inlineStr">
        <is>
          <t>Applicable to Kryptos due to untrusted input handling; need to sanitize data length and characters before reaching potentially dangerous contexts.</t>
        </is>
      </c>
      <c r="H19" s="16" t="n"/>
    </row>
    <row r="20" ht="30" customHeight="1">
      <c r="A20" s="19" t="inlineStr">
        <is>
          <t>V1.3</t>
        </is>
      </c>
      <c r="B20" s="19" t="inlineStr">
        <is>
          <t>Sanitization</t>
        </is>
      </c>
      <c r="C20" s="20" t="inlineStr">
        <is>
          <t>V1.3.4</t>
        </is>
      </c>
      <c r="D20" s="21" t="inlineStr">
        <is>
          <t>Verify that user-supplied Scalable Vector Graphics (SVG) scriptable content is validated or sanitized to contain only tags and attributes (such as draw graphics) that are safe for the application, e.g., do not contain scripts and foreignObject.</t>
        </is>
      </c>
      <c r="E20" s="17" t="n">
        <v>2</v>
      </c>
      <c r="F20" s="18" t="inlineStr">
        <is>
          <t>Not Applicable</t>
        </is>
      </c>
      <c r="G20" s="21" t="n"/>
      <c r="H20" s="21" t="n"/>
    </row>
    <row r="21" ht="30" customHeight="1">
      <c r="A21" s="14" t="inlineStr">
        <is>
          <t>V1.3</t>
        </is>
      </c>
      <c r="B21" s="14" t="inlineStr">
        <is>
          <t>Sanitization</t>
        </is>
      </c>
      <c r="C21" s="15" t="inlineStr">
        <is>
          <t>V1.3.5</t>
        </is>
      </c>
      <c r="D21" s="16" t="inlineStr">
        <is>
          <t>Verify that the application sanitizes or disables user-supplied scriptable or expression template language content, such as Markdown, CSS or XSL stylesheets, BBCode, or similar.</t>
        </is>
      </c>
      <c r="E21" s="17" t="n">
        <v>2</v>
      </c>
      <c r="F21" s="18" t="inlineStr">
        <is>
          <t>Not Applicable</t>
        </is>
      </c>
      <c r="G21" s="16" t="n"/>
      <c r="H21" s="16" t="n"/>
    </row>
    <row r="22" ht="30" customHeight="1">
      <c r="A22" s="19" t="inlineStr">
        <is>
          <t>V1.3</t>
        </is>
      </c>
      <c r="B22" s="19" t="inlineStr">
        <is>
          <t>Sanitization</t>
        </is>
      </c>
      <c r="C22" s="20" t="inlineStr">
        <is>
          <t>V1.3.6</t>
        </is>
      </c>
      <c r="D22" s="21"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17" t="n">
        <v>2</v>
      </c>
      <c r="F22" s="18" t="inlineStr">
        <is>
          <t>Not Started</t>
        </is>
      </c>
      <c r="G22" s="21" t="inlineStr">
        <is>
          <t>Applicable to Kryptos due to potential outbound network requests; need to validate URLs against an allowlist to prevent SSRF.</t>
        </is>
      </c>
      <c r="H22" s="21" t="n"/>
    </row>
    <row r="23" ht="30" customHeight="1">
      <c r="A23" s="14" t="inlineStr">
        <is>
          <t>V1.3</t>
        </is>
      </c>
      <c r="B23" s="14" t="inlineStr">
        <is>
          <t>Sanitization</t>
        </is>
      </c>
      <c r="C23" s="15" t="inlineStr">
        <is>
          <t>V1.3.7</t>
        </is>
      </c>
      <c r="D23" s="16"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17" t="n">
        <v>2</v>
      </c>
      <c r="F23" s="18" t="inlineStr">
        <is>
          <t>Not Started</t>
        </is>
      </c>
      <c r="G23" s="16" t="inlineStr">
        <is>
          <t>Applicable to Kryptos due to dynamic file or message generation; need to prevent template injection by strictly sanitizing untrusted input in templates.</t>
        </is>
      </c>
      <c r="H23" s="16" t="n"/>
    </row>
    <row r="24" ht="30" customHeight="1">
      <c r="A24" s="19" t="inlineStr">
        <is>
          <t>V1.3</t>
        </is>
      </c>
      <c r="B24" s="19" t="inlineStr">
        <is>
          <t>Sanitization</t>
        </is>
      </c>
      <c r="C24" s="20" t="inlineStr">
        <is>
          <t>V1.3.8</t>
        </is>
      </c>
      <c r="D24" s="21" t="inlineStr">
        <is>
          <t>Verify that the application appropriately sanitizes untrusted input before use in Java Naming and Directory Interface (JNDI) queries and that JNDI is configured securely to prevent JNDI injection attacks.</t>
        </is>
      </c>
      <c r="E24" s="17" t="n">
        <v>2</v>
      </c>
      <c r="F24" s="18" t="inlineStr">
        <is>
          <t>Not Started</t>
        </is>
      </c>
      <c r="G24" s="21" t="inlineStr">
        <is>
          <t>Still unsure what programming language we are going to use</t>
        </is>
      </c>
      <c r="H24" s="21" t="n"/>
    </row>
    <row r="25" ht="30" customHeight="1">
      <c r="A25" s="14" t="inlineStr">
        <is>
          <t>V1.3</t>
        </is>
      </c>
      <c r="B25" s="14" t="inlineStr">
        <is>
          <t>Sanitization</t>
        </is>
      </c>
      <c r="C25" s="15" t="inlineStr">
        <is>
          <t>V1.3.9</t>
        </is>
      </c>
      <c r="D25" s="16" t="inlineStr">
        <is>
          <t>Verify that the application sanitizes content before it is sent to memcache to prevent injection attacks.</t>
        </is>
      </c>
      <c r="E25" s="17" t="n">
        <v>2</v>
      </c>
      <c r="F25" s="18" t="inlineStr">
        <is>
          <t>Not Applicable</t>
        </is>
      </c>
      <c r="G25" s="16" t="n"/>
      <c r="H25" s="16" t="n"/>
    </row>
    <row r="26" ht="30" customHeight="1">
      <c r="A26" s="19" t="inlineStr">
        <is>
          <t>V1.3</t>
        </is>
      </c>
      <c r="B26" s="19" t="inlineStr">
        <is>
          <t>Sanitization</t>
        </is>
      </c>
      <c r="C26" s="20" t="inlineStr">
        <is>
          <t>V1.3.10</t>
        </is>
      </c>
      <c r="D26" s="21" t="inlineStr">
        <is>
          <t>Verify that format strings which might resolve in an unexpected or malicious way when used are sanitized before being processed.</t>
        </is>
      </c>
      <c r="E26" s="17" t="n">
        <v>2</v>
      </c>
      <c r="F26" s="18" t="inlineStr">
        <is>
          <t>Not Started</t>
        </is>
      </c>
      <c r="G26" s="28" t="inlineStr">
        <is>
          <t>Applicable to Kryptos due to backend string formatting, we must strictly avoid user-controllable format strings.</t>
        </is>
      </c>
      <c r="H26" s="21" t="n"/>
    </row>
    <row r="27" ht="30" customHeight="1">
      <c r="A27" s="14" t="inlineStr">
        <is>
          <t>V1.3</t>
        </is>
      </c>
      <c r="B27" s="14" t="inlineStr">
        <is>
          <t>Sanitization</t>
        </is>
      </c>
      <c r="C27" s="15" t="inlineStr">
        <is>
          <t>V1.3.11</t>
        </is>
      </c>
      <c r="D27" s="16" t="inlineStr">
        <is>
          <t>Verify that the application sanitizes user input before passing to mail systems to protect against SMTP or IMAP injection.</t>
        </is>
      </c>
      <c r="E27" s="17" t="n">
        <v>2</v>
      </c>
      <c r="F27" s="18" t="inlineStr">
        <is>
          <t>Not Applicable</t>
        </is>
      </c>
      <c r="G27" s="30" t="n"/>
      <c r="H27" s="16" t="n"/>
    </row>
    <row r="28" ht="30" customHeight="1">
      <c r="A28" s="19" t="inlineStr">
        <is>
          <t>V1.3</t>
        </is>
      </c>
      <c r="B28" s="19" t="inlineStr">
        <is>
          <t>Sanitization</t>
        </is>
      </c>
      <c r="C28" s="20" t="inlineStr">
        <is>
          <t>V1.3.12</t>
        </is>
      </c>
      <c r="D28" s="21" t="inlineStr">
        <is>
          <t>Verify that regular expressions are free from elements causing exponential backtracking, and ensure untrusted input is sanitized to mitigate ReDoS or Runaway Regex attacks.</t>
        </is>
      </c>
      <c r="E28" s="23" t="n">
        <v>3</v>
      </c>
      <c r="F28" s="18" t="inlineStr">
        <is>
          <t>Not Started</t>
        </is>
      </c>
      <c r="G28" s="21" t="inlineStr">
        <is>
          <t>Applicable to Kryptos due to regex-based input validation; need to ensure patterns are safe from ReDoS</t>
        </is>
      </c>
      <c r="H28" s="21" t="n"/>
    </row>
    <row r="29" ht="18" customHeight="1">
      <c r="A29" s="13" t="inlineStr">
        <is>
          <t>V1.4</t>
        </is>
      </c>
      <c r="B29" s="13" t="inlineStr">
        <is>
          <t>Memory, String, and Unmanaged Code</t>
        </is>
      </c>
      <c r="C29" s="13" t="n"/>
      <c r="D29" s="13" t="n"/>
      <c r="E29" s="13" t="n"/>
      <c r="F29" s="13" t="n"/>
      <c r="G29" s="13" t="n"/>
      <c r="H29" s="13" t="n"/>
    </row>
    <row r="30" ht="30" customHeight="1">
      <c r="A30" s="14" t="inlineStr">
        <is>
          <t>V1.4</t>
        </is>
      </c>
      <c r="B30" s="14" t="inlineStr">
        <is>
          <t>Memory, String, and Unmanaged Code</t>
        </is>
      </c>
      <c r="C30" s="15" t="inlineStr">
        <is>
          <t>V1.4.1</t>
        </is>
      </c>
      <c r="D30" s="16" t="inlineStr">
        <is>
          <t>Verify that the application uses memory-safe string, safer memory copy and pointer arithmetic to detect or prevent stack, buffer, or heap overflows.</t>
        </is>
      </c>
      <c r="E30" s="17" t="n">
        <v>2</v>
      </c>
      <c r="F30" s="18" t="inlineStr">
        <is>
          <t>Not Started</t>
        </is>
      </c>
      <c r="G30" s="16" t="inlineStr">
        <is>
          <t>Applicable to Kryptos due to data processing; need to ensure the backend implementation provides native protection against buffer overflows.</t>
        </is>
      </c>
      <c r="H30" s="16" t="n"/>
    </row>
    <row r="31" ht="30" customHeight="1">
      <c r="A31" s="19" t="inlineStr">
        <is>
          <t>V1.4</t>
        </is>
      </c>
      <c r="B31" s="19" t="inlineStr">
        <is>
          <t>Memory, String, and Unmanaged Code</t>
        </is>
      </c>
      <c r="C31" s="20" t="inlineStr">
        <is>
          <t>V1.4.2</t>
        </is>
      </c>
      <c r="D31" s="21" t="inlineStr">
        <is>
          <t>Verify that sign, range, and input validation techniques are used to prevent integer overflows.</t>
        </is>
      </c>
      <c r="E31" s="17" t="n">
        <v>2</v>
      </c>
      <c r="F31" s="18" t="inlineStr">
        <is>
          <t>Not Started</t>
        </is>
      </c>
      <c r="G31" s="21" t="inlineStr">
        <is>
          <t>Applicable to Kryptos due to numeric data handling; need to implement range and sign validation to prevent integer overflow vulnerabilities.</t>
        </is>
      </c>
      <c r="H31" s="21" t="n"/>
    </row>
    <row r="32" ht="30" customHeight="1">
      <c r="A32" s="14" t="inlineStr">
        <is>
          <t>V1.4</t>
        </is>
      </c>
      <c r="B32" s="14" t="inlineStr">
        <is>
          <t>Memory, String, and Unmanaged Code</t>
        </is>
      </c>
      <c r="C32" s="15" t="inlineStr">
        <is>
          <t>V1.4.3</t>
        </is>
      </c>
      <c r="D32" s="16" t="inlineStr">
        <is>
          <t>Verify that dynamically allocated memory and resources are released, and that references or pointers to freed memory are removed or set to null to prevent dangling pointers and use-after-free vulnerabilities.</t>
        </is>
      </c>
      <c r="E32" s="17" t="n">
        <v>2</v>
      </c>
      <c r="F32" s="18" t="inlineStr">
        <is>
          <t>Not Applicable</t>
        </is>
      </c>
      <c r="G32" s="16" t="n"/>
      <c r="H32" s="16" t="n"/>
    </row>
    <row r="33" ht="18" customHeight="1">
      <c r="A33" s="13" t="inlineStr">
        <is>
          <t>V1.5</t>
        </is>
      </c>
      <c r="B33" s="13" t="inlineStr">
        <is>
          <t>Safe Deserialization</t>
        </is>
      </c>
      <c r="C33" s="13" t="n"/>
      <c r="D33" s="13" t="n"/>
      <c r="E33" s="13" t="n"/>
      <c r="F33" s="13" t="n"/>
      <c r="G33" s="13" t="n"/>
      <c r="H33" s="13" t="n"/>
    </row>
    <row r="34" ht="30" customHeight="1">
      <c r="A34" s="14" t="inlineStr">
        <is>
          <t>V1.5</t>
        </is>
      </c>
      <c r="B34" s="14" t="inlineStr">
        <is>
          <t>Safe Deserialization</t>
        </is>
      </c>
      <c r="C34" s="15" t="inlineStr">
        <is>
          <t>V1.5.1</t>
        </is>
      </c>
      <c r="D34" s="16" t="inlineStr">
        <is>
          <t>Verify that the application configures XML parsers to use a restrictive configuration and that unsafe features such as resolving external entities are disabled to prevent XML eXternal Entity (XXE) attacks.</t>
        </is>
      </c>
      <c r="E34" s="22" t="n">
        <v>1</v>
      </c>
      <c r="F34" s="18" t="inlineStr">
        <is>
          <t>Not Applicable</t>
        </is>
      </c>
      <c r="G34" s="16" t="n"/>
      <c r="H34" s="16" t="n"/>
    </row>
    <row r="35" ht="30" customHeight="1">
      <c r="A35" s="19" t="inlineStr">
        <is>
          <t>V1.5</t>
        </is>
      </c>
      <c r="B35" s="19" t="inlineStr">
        <is>
          <t>Safe Deserialization</t>
        </is>
      </c>
      <c r="C35" s="20" t="inlineStr">
        <is>
          <t>V1.5.2</t>
        </is>
      </c>
      <c r="D35" s="21"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17" t="n">
        <v>2</v>
      </c>
      <c r="F35" s="18" t="inlineStr">
        <is>
          <t>Not Started</t>
        </is>
      </c>
      <c r="G35" s="21" t="inlineStr">
        <is>
          <t>Applicable to Kryptos due to JSON deserialization; need to enforce strict type checking and use safe deserialization libraries for untrusted data.</t>
        </is>
      </c>
      <c r="H35" s="21" t="n"/>
    </row>
    <row r="36" ht="30" customHeight="1">
      <c r="A36" s="14" t="inlineStr">
        <is>
          <t>V1.5</t>
        </is>
      </c>
      <c r="B36" s="14" t="inlineStr">
        <is>
          <t>Safe Deserialization</t>
        </is>
      </c>
      <c r="C36" s="15" t="inlineStr">
        <is>
          <t>V1.5.3</t>
        </is>
      </c>
      <c r="D36" s="16"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23" t="n">
        <v>3</v>
      </c>
      <c r="F36" s="18" t="inlineStr">
        <is>
          <t>Not Started</t>
        </is>
      </c>
      <c r="G36" s="16" t="inlineStr">
        <is>
          <t>Applicable to Kryptos due to the use of multiple data parsers; need to ensure consistent parsing behavior across all components to avoid interoperability flaws.</t>
        </is>
      </c>
      <c r="H36" s="16" t="n"/>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1:H18"/>
  <sheetViews>
    <sheetView zoomScale="75" zoomScaleNormal="75" workbookViewId="0">
      <pane ySplit="1" topLeftCell="A2" activePane="bottomLeft" state="frozen"/>
      <selection pane="bottomLeft" activeCell="F3" sqref="F3"/>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V2.1</t>
        </is>
      </c>
      <c r="B2" s="13" t="inlineStr">
        <is>
          <t>Validation and Business Logic Documentation</t>
        </is>
      </c>
      <c r="C2" s="13" t="n"/>
      <c r="D2" s="13" t="n"/>
      <c r="E2" s="13" t="n"/>
      <c r="F2" s="13" t="n"/>
      <c r="G2" s="13" t="n"/>
      <c r="H2" s="13" t="n"/>
    </row>
    <row r="3" ht="30" customHeight="1">
      <c r="A3" s="14" t="inlineStr">
        <is>
          <t>V2.1</t>
        </is>
      </c>
      <c r="B3" s="14" t="inlineStr">
        <is>
          <t>Validation and Business Logic Documentation</t>
        </is>
      </c>
      <c r="C3" s="15" t="inlineStr">
        <is>
          <t>V2.1.1</t>
        </is>
      </c>
      <c r="D3" s="16"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22" t="n">
        <v>1</v>
      </c>
      <c r="F3" s="18" t="inlineStr">
        <is>
          <t>In Progress</t>
        </is>
      </c>
      <c r="G3" s="16" t="inlineStr">
        <is>
          <t>Applicable to Kryptos due to diverse data inputs (emails, vault names); need to document strict validation rules for every data field.</t>
        </is>
      </c>
      <c r="H3" s="16" t="n"/>
    </row>
    <row r="4" ht="30" customHeight="1">
      <c r="A4" s="19" t="inlineStr">
        <is>
          <t>V2.1</t>
        </is>
      </c>
      <c r="B4" s="19" t="inlineStr">
        <is>
          <t>Validation and Business Logic Documentation</t>
        </is>
      </c>
      <c r="C4" s="20" t="inlineStr">
        <is>
          <t>V2.1.2</t>
        </is>
      </c>
      <c r="D4" s="21" t="inlineStr">
        <is>
          <t>Verify that the application's documentation defines how to validate the logical and contextual consistency of combined data items, such as checking that suburb and ZIP code match.</t>
        </is>
      </c>
      <c r="E4" s="17" t="n">
        <v>2</v>
      </c>
      <c r="F4" s="18" t="inlineStr">
        <is>
          <t>In Progress</t>
        </is>
      </c>
      <c r="G4" s="28" t="inlineStr">
        <is>
          <t>Applicable to Kryptos due to related data entities (User-Vault-Credential); need to document how logical consistency is validated between these objects.</t>
        </is>
      </c>
      <c r="H4" s="21" t="n"/>
    </row>
    <row r="5" ht="30" customHeight="1">
      <c r="A5" s="14" t="inlineStr">
        <is>
          <t>V2.1</t>
        </is>
      </c>
      <c r="B5" s="14" t="inlineStr">
        <is>
          <t>Validation and Business Logic Documentation</t>
        </is>
      </c>
      <c r="C5" s="15" t="inlineStr">
        <is>
          <t>V2.1.3</t>
        </is>
      </c>
      <c r="D5" s="16" t="inlineStr">
        <is>
          <t>Verify that expectations for business logic limits and validations are documented, including both per-user and globally across the application.</t>
        </is>
      </c>
      <c r="E5" s="17" t="n">
        <v>2</v>
      </c>
      <c r="F5" s="18" t="inlineStr">
        <is>
          <t>In Progress</t>
        </is>
      </c>
      <c r="G5" s="16" t="inlineStr">
        <is>
          <t>Applicable to Kryptos due to resource management; need to document global and per-user limits for vaults and credential entries.</t>
        </is>
      </c>
      <c r="H5" s="16" t="n"/>
    </row>
    <row r="6" ht="18" customHeight="1">
      <c r="A6" s="13" t="inlineStr">
        <is>
          <t>V2.2</t>
        </is>
      </c>
      <c r="B6" s="13" t="inlineStr">
        <is>
          <t>Input Validation</t>
        </is>
      </c>
      <c r="C6" s="13" t="n"/>
      <c r="D6" s="13" t="n"/>
      <c r="E6" s="13" t="n"/>
      <c r="F6" s="13" t="n"/>
      <c r="G6" s="13" t="n"/>
      <c r="H6" s="13" t="n"/>
    </row>
    <row r="7" ht="30" customHeight="1">
      <c r="A7" s="14" t="inlineStr">
        <is>
          <t>V2.2</t>
        </is>
      </c>
      <c r="B7" s="14" t="inlineStr">
        <is>
          <t>Input Validation</t>
        </is>
      </c>
      <c r="C7" s="15" t="inlineStr">
        <is>
          <t>V2.2.1</t>
        </is>
      </c>
      <c r="D7" s="16"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22" t="n">
        <v>1</v>
      </c>
      <c r="F7" s="18" t="inlineStr">
        <is>
          <t>Compliant</t>
        </is>
      </c>
      <c r="G7" s="16" t="inlineStr">
        <is>
          <t>Implemented via DTO bean validation (@NotBlank, @Email, @Size) on every request record and positive validation on file uploads (extension allowlist [A-Za-z0-9]{1,8} and CRLF stripping in CredentialImportExportService.safe()).</t>
        </is>
      </c>
      <c r="H7" s="16" t="inlineStr">
        <is>
          <t>backend/src/main/java/com/kryptos/**/dto/*.java; backend/src/main/java/com/kryptos/filehandling/application/FileHandlingService.java#storeUpload; CredentialControllerTest.create_shouldReturn400_whenServiceNameIsBlank</t>
        </is>
      </c>
    </row>
    <row r="8" ht="30" customHeight="1">
      <c r="A8" s="19" t="inlineStr">
        <is>
          <t>V2.2</t>
        </is>
      </c>
      <c r="B8" s="19" t="inlineStr">
        <is>
          <t>Input Validation</t>
        </is>
      </c>
      <c r="C8" s="20" t="inlineStr">
        <is>
          <t>V2.2.2</t>
        </is>
      </c>
      <c r="D8" s="21" t="inlineStr">
        <is>
          <t>Verify that the application is designed to enforce input validation at a trusted service layer. While client-side validation improves usability and should be encouraged, it must not be relied upon as a security control.</t>
        </is>
      </c>
      <c r="E8" s="22" t="n">
        <v>1</v>
      </c>
      <c r="F8" s="18" t="inlineStr">
        <is>
          <t>Compliant</t>
        </is>
      </c>
      <c r="G8" s="21" t="inlineStr">
        <is>
          <t>All validation lives in the backend service/controller layer; there is no frontend in scope and no validation is delegated to the client. DTOs are validated via @Valid in controllers; ownership and business invariants are enforced in services.</t>
        </is>
      </c>
      <c r="H8" s="21" t="inlineStr">
        <is>
          <t>backend/src/main/java/com/kryptos/**/api/*Controller.java; backend/src/main/java/com/kryptos/**/application/*Service.java</t>
        </is>
      </c>
    </row>
    <row r="9" ht="30" customHeight="1">
      <c r="A9" s="14" t="inlineStr">
        <is>
          <t>V2.2</t>
        </is>
      </c>
      <c r="B9" s="14" t="inlineStr">
        <is>
          <t>Input Validation</t>
        </is>
      </c>
      <c r="C9" s="15" t="inlineStr">
        <is>
          <t>V2.2.3</t>
        </is>
      </c>
      <c r="D9" s="16" t="inlineStr">
        <is>
          <t>Verify that the application ensures that combinations of related data items are reasonable according to the pre-defined rules.</t>
        </is>
      </c>
      <c r="E9" s="17" t="n">
        <v>2</v>
      </c>
      <c r="F9" s="18" t="inlineStr">
        <is>
          <t>Compliant</t>
        </is>
      </c>
      <c r="G9" s="28" t="inlineStr">
        <is>
          <t>Composite consistency checks: CredentialService.create validates vault ownership before saving (vaultRepository.existsByIdAndOwnerId); TrustedDeviceService.register rejects fingerprints already bound to another user.</t>
        </is>
      </c>
      <c r="H9" s="16" t="inlineStr">
        <is>
          <t>backend/src/main/java/com/kryptos/credential/application/CredentialService.java; backend/src/main/java/com/kryptos/trusteddevice/application/TrustedDeviceService.java</t>
        </is>
      </c>
    </row>
    <row r="10" ht="18" customHeight="1">
      <c r="A10" s="13" t="inlineStr">
        <is>
          <t>V2.3</t>
        </is>
      </c>
      <c r="B10" s="13" t="inlineStr">
        <is>
          <t>Business Logic Security</t>
        </is>
      </c>
      <c r="C10" s="13" t="n"/>
      <c r="D10" s="13" t="n"/>
      <c r="E10" s="13" t="n"/>
      <c r="F10" s="13" t="n"/>
      <c r="G10" s="13" t="n"/>
      <c r="H10" s="13" t="n"/>
    </row>
    <row r="11" ht="30" customHeight="1">
      <c r="A11" s="14" t="inlineStr">
        <is>
          <t>V2.3</t>
        </is>
      </c>
      <c r="B11" s="14" t="inlineStr">
        <is>
          <t>Business Logic Security</t>
        </is>
      </c>
      <c r="C11" s="15" t="inlineStr">
        <is>
          <t>V2.3.1</t>
        </is>
      </c>
      <c r="D11" s="16" t="inlineStr">
        <is>
          <t>Verify that the application will only process business logic flows for the same user in the expected sequential step order and without skipping steps.</t>
        </is>
      </c>
      <c r="E11" s="22" t="n">
        <v>1</v>
      </c>
      <c r="F11" s="18" t="inlineStr">
        <is>
          <t>Not Applicable</t>
        </is>
      </c>
      <c r="G11" s="16" t="inlineStr">
        <is>
          <t>Kryptos exposes a stateless REST API. There are no multi-step server-side business flows whose order needs enforcing.</t>
        </is>
      </c>
      <c r="H11" s="16" t="n"/>
    </row>
    <row r="12" ht="30" customHeight="1">
      <c r="A12" s="19" t="inlineStr">
        <is>
          <t>V2.3</t>
        </is>
      </c>
      <c r="B12" s="19" t="inlineStr">
        <is>
          <t>Business Logic Security</t>
        </is>
      </c>
      <c r="C12" s="20" t="inlineStr">
        <is>
          <t>V2.3.2</t>
        </is>
      </c>
      <c r="D12" s="21" t="inlineStr">
        <is>
          <t>Verify that business logic limits are implemented per the application's documentation to avoid business logic flaws being exploited.</t>
        </is>
      </c>
      <c r="E12" s="17" t="n">
        <v>2</v>
      </c>
      <c r="F12" s="18" t="inlineStr">
        <is>
          <t>In Progress</t>
        </is>
      </c>
      <c r="G12" s="21" t="inlineStr">
        <is>
          <t>Business-logic limits are implemented in code (5 login attempts → 15 min lockout, 5 imports/min/principal, 5 exports/min/principal, 5 MiB file cap, 50 000 line cap). Formal documentation of these limits is still pending.</t>
        </is>
      </c>
      <c r="H12" s="21" t="inlineStr">
        <is>
          <t>backend/src/main/java/com/kryptos/auth/application/AuthService.java; backend/src/main/java/com/kryptos/filehandling/application/ImportExportRateLimiter.java; backend/src/main/java/com/kryptos/filehandling/application/FileHandlingService.java</t>
        </is>
      </c>
    </row>
    <row r="13" ht="30" customHeight="1">
      <c r="A13" s="14" t="inlineStr">
        <is>
          <t>V2.3</t>
        </is>
      </c>
      <c r="B13" s="14" t="inlineStr">
        <is>
          <t>Business Logic Security</t>
        </is>
      </c>
      <c r="C13" s="15" t="inlineStr">
        <is>
          <t>V2.3.3</t>
        </is>
      </c>
      <c r="D13" s="16" t="inlineStr">
        <is>
          <t>Verify that transactions are being used at the business logic level such that either a business logic operation succeeds in its entirety or it is rolled back to the previous correct state.</t>
        </is>
      </c>
      <c r="E13" s="17" t="n">
        <v>2</v>
      </c>
      <c r="F13" s="18" t="inlineStr">
        <is>
          <t>Compliant</t>
        </is>
      </c>
      <c r="G13" s="16" t="inlineStr">
        <is>
          <t>Every mutating service method is annotated @Transactional, so a partial failure rolls back the operation (e.g., CredentialService.create, VaultService.delete, AuditService.log, CredentialImportExportService.importForOwner).</t>
        </is>
      </c>
      <c r="H13" s="16" t="inlineStr">
        <is>
          <t>backend/src/main/java/com/kryptos/**/application/*Service.java</t>
        </is>
      </c>
    </row>
    <row r="14" ht="30" customHeight="1">
      <c r="A14" s="19" t="inlineStr">
        <is>
          <t>V2.3</t>
        </is>
      </c>
      <c r="B14" s="19" t="inlineStr">
        <is>
          <t>Business Logic Security</t>
        </is>
      </c>
      <c r="C14" s="20" t="inlineStr">
        <is>
          <t>V2.3.4</t>
        </is>
      </c>
      <c r="D14" s="21" t="inlineStr">
        <is>
          <t>Verify that business logic level locking mechanisms are used to ensure that limited quantity resources (such as theater seats or delivery slots) cannot be double-booked by manipulating the application's logic.</t>
        </is>
      </c>
      <c r="E14" s="17" t="n">
        <v>2</v>
      </c>
      <c r="F14" s="18" t="inlineStr">
        <is>
          <t>Not Applicable</t>
        </is>
      </c>
      <c r="G14" s="21" t="n"/>
      <c r="H14" s="21" t="n"/>
    </row>
    <row r="15" ht="30" customHeight="1">
      <c r="A15" s="14" t="inlineStr">
        <is>
          <t>V2.3</t>
        </is>
      </c>
      <c r="B15" s="14" t="inlineStr">
        <is>
          <t>Business Logic Security</t>
        </is>
      </c>
      <c r="C15" s="15" t="inlineStr">
        <is>
          <t>V2.3.5</t>
        </is>
      </c>
      <c r="D15" s="16"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23" t="n">
        <v>3</v>
      </c>
      <c r="F15" s="18" t="inlineStr">
        <is>
          <t>Not Applicable</t>
        </is>
      </c>
      <c r="G15" s="16" t="n"/>
      <c r="H15" s="16" t="n"/>
    </row>
    <row r="16" ht="18" customHeight="1">
      <c r="A16" s="13" t="inlineStr">
        <is>
          <t>V2.4</t>
        </is>
      </c>
      <c r="B16" s="13" t="inlineStr">
        <is>
          <t>Anti-automation</t>
        </is>
      </c>
      <c r="C16" s="13" t="n"/>
      <c r="D16" s="13" t="n"/>
      <c r="E16" s="13" t="n"/>
      <c r="F16" s="13" t="n"/>
      <c r="G16" s="13" t="n"/>
      <c r="H16" s="13" t="n"/>
    </row>
    <row r="17" ht="30" customHeight="1">
      <c r="A17" s="14" t="inlineStr">
        <is>
          <t>V2.4</t>
        </is>
      </c>
      <c r="B17" s="14" t="inlineStr">
        <is>
          <t>Anti-automation</t>
        </is>
      </c>
      <c r="C17" s="15" t="inlineStr">
        <is>
          <t>V2.4.1</t>
        </is>
      </c>
      <c r="D17" s="16"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17" t="n">
        <v>2</v>
      </c>
      <c r="F17" s="18" t="inlineStr">
        <is>
          <t>Compliant</t>
        </is>
      </c>
      <c r="G17" s="16" t="inlineStr">
        <is>
          <t>Anti-automation: login endpoint enforces 5 attempts/min/principal with a 15 min lockout (AuthService); import/export endpoints enforce 5 requests/min/principal via ImportExportRateLimiter → HTTP 429.</t>
        </is>
      </c>
      <c r="H17" s="16" t="inlineStr">
        <is>
          <t>AuthService.java; ImportExportRateLimiter.java; AuthServiceTest.login_shouldLockAccount_afterMaxFailedAttempts; ImportExportRateLimiterTest.tryAcquireExport_allowsFivePerMinute_thenThrottles</t>
        </is>
      </c>
    </row>
    <row r="18" ht="30" customHeight="1">
      <c r="A18" s="19" t="inlineStr">
        <is>
          <t>V2.4</t>
        </is>
      </c>
      <c r="B18" s="19" t="inlineStr">
        <is>
          <t>Anti-automation</t>
        </is>
      </c>
      <c r="C18" s="20" t="inlineStr">
        <is>
          <t>V2.4.2</t>
        </is>
      </c>
      <c r="D18" s="21" t="inlineStr">
        <is>
          <t>Verify that business logic flows require realistic human timing, preventing excessively rapid transaction submissions.</t>
        </is>
      </c>
      <c r="E18" s="23" t="n">
        <v>3</v>
      </c>
      <c r="F18" s="18" t="inlineStr">
        <is>
          <t>Not Started</t>
        </is>
      </c>
      <c r="G18" s="21" t="inlineStr">
        <is>
          <t>Applicable to Kryptos due to sensitive business logic flows; need to enforce timing-based controls to prevent excessively rapid transaction submissions.</t>
        </is>
      </c>
      <c r="H18" s="21"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sheetPr>
  <dimension ref="A1:H39"/>
  <sheetViews>
    <sheetView zoomScale="125" zoomScaleNormal="75" workbookViewId="0">
      <pane ySplit="1" topLeftCell="A2" activePane="bottomLeft" state="frozen"/>
      <selection pane="bottomLeft" activeCell="J9" sqref="J9"/>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V3.1</t>
        </is>
      </c>
      <c r="B2" s="13" t="inlineStr">
        <is>
          <t>Web Frontend Security Documentation</t>
        </is>
      </c>
      <c r="C2" s="13" t="n"/>
      <c r="D2" s="13" t="n"/>
      <c r="E2" s="13" t="n"/>
      <c r="F2" s="13" t="n"/>
      <c r="G2" s="13" t="n"/>
      <c r="H2" s="13" t="n"/>
    </row>
    <row r="3" ht="30" customHeight="1">
      <c r="A3" s="14" t="inlineStr">
        <is>
          <t>V3.1</t>
        </is>
      </c>
      <c r="B3" s="14" t="inlineStr">
        <is>
          <t>Web Frontend Security Documentation</t>
        </is>
      </c>
      <c r="C3" s="15" t="inlineStr">
        <is>
          <t>V3.1.1</t>
        </is>
      </c>
      <c r="D3" s="16"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23" t="n">
        <v>3</v>
      </c>
      <c r="F3" s="18" t="inlineStr">
        <is>
          <t>Not Applicable</t>
        </is>
      </c>
      <c r="G3" s="16" t="n"/>
      <c r="H3" s="16" t="n"/>
    </row>
    <row r="4" ht="18" customHeight="1">
      <c r="A4" s="13" t="inlineStr">
        <is>
          <t>V3.2</t>
        </is>
      </c>
      <c r="B4" s="13" t="inlineStr">
        <is>
          <t>Unintended Content Interpretation</t>
        </is>
      </c>
      <c r="C4" s="13" t="n"/>
      <c r="D4" s="13" t="n"/>
      <c r="E4" s="13" t="n"/>
      <c r="F4" s="13" t="n"/>
      <c r="G4" s="13" t="n"/>
      <c r="H4" s="13" t="n"/>
    </row>
    <row r="5" ht="30" customHeight="1">
      <c r="A5" s="14" t="inlineStr">
        <is>
          <t>V3.2</t>
        </is>
      </c>
      <c r="B5" s="14" t="inlineStr">
        <is>
          <t>Unintended Content Interpretation</t>
        </is>
      </c>
      <c r="C5" s="15" t="inlineStr">
        <is>
          <t>V3.2.1</t>
        </is>
      </c>
      <c r="D5" s="16"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22" t="n">
        <v>1</v>
      </c>
      <c r="F5" s="18" t="inlineStr">
        <is>
          <t>Not Applicable</t>
        </is>
      </c>
      <c r="G5" s="16" t="n"/>
      <c r="H5" s="16" t="n"/>
    </row>
    <row r="6" ht="30" customHeight="1">
      <c r="A6" s="19" t="inlineStr">
        <is>
          <t>V3.2</t>
        </is>
      </c>
      <c r="B6" s="19" t="inlineStr">
        <is>
          <t>Unintended Content Interpretation</t>
        </is>
      </c>
      <c r="C6" s="20" t="inlineStr">
        <is>
          <t>V3.2.2</t>
        </is>
      </c>
      <c r="D6" s="21" t="inlineStr">
        <is>
          <t>Verify that content intended to be displayed as text, rather than rendered as HTML, is handled using safe rendering functions (such as createTextNode or textContent) to prevent unintended execution of content such as HTML or JavaScript.</t>
        </is>
      </c>
      <c r="E6" s="22" t="n">
        <v>1</v>
      </c>
      <c r="F6" s="18" t="inlineStr">
        <is>
          <t>Not Applicable</t>
        </is>
      </c>
      <c r="G6" s="21" t="n"/>
      <c r="H6" s="21" t="n"/>
    </row>
    <row r="7" ht="30" customHeight="1">
      <c r="A7" s="14" t="inlineStr">
        <is>
          <t>V3.2</t>
        </is>
      </c>
      <c r="B7" s="14" t="inlineStr">
        <is>
          <t>Unintended Content Interpretation</t>
        </is>
      </c>
      <c r="C7" s="15" t="inlineStr">
        <is>
          <t>V3.2.3</t>
        </is>
      </c>
      <c r="D7" s="16"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23" t="n">
        <v>3</v>
      </c>
      <c r="F7" s="18" t="inlineStr">
        <is>
          <t>Not Applicable</t>
        </is>
      </c>
      <c r="G7" s="16" t="n"/>
      <c r="H7" s="16" t="n"/>
    </row>
    <row r="8" ht="18" customHeight="1">
      <c r="A8" s="13" t="inlineStr">
        <is>
          <t>V3.3</t>
        </is>
      </c>
      <c r="B8" s="13" t="inlineStr">
        <is>
          <t>Cookie Setup</t>
        </is>
      </c>
      <c r="C8" s="13" t="n"/>
      <c r="D8" s="13" t="n"/>
      <c r="E8" s="13" t="n"/>
      <c r="F8" s="13" t="n"/>
      <c r="G8" s="13" t="n"/>
      <c r="H8" s="13" t="n"/>
    </row>
    <row r="9" ht="30" customHeight="1">
      <c r="A9" s="14" t="inlineStr">
        <is>
          <t>V3.3</t>
        </is>
      </c>
      <c r="B9" s="14" t="inlineStr">
        <is>
          <t>Cookie Setup</t>
        </is>
      </c>
      <c r="C9" s="15" t="inlineStr">
        <is>
          <t>V3.3.1</t>
        </is>
      </c>
      <c r="D9" s="16" t="inlineStr">
        <is>
          <t>Verify that cookies have the 'Secure' attribute set, and if the '\__Host-' prefix is not used for the cookie name, the '__Secure-' prefix must be used for the cookie name.</t>
        </is>
      </c>
      <c r="E9" s="22" t="n">
        <v>1</v>
      </c>
      <c r="F9" s="18" t="inlineStr">
        <is>
          <t>Not Applicable</t>
        </is>
      </c>
      <c r="G9" s="16" t="n"/>
      <c r="H9" s="16" t="n"/>
    </row>
    <row r="10" ht="30" customHeight="1">
      <c r="A10" s="19" t="inlineStr">
        <is>
          <t>V3.3</t>
        </is>
      </c>
      <c r="B10" s="19" t="inlineStr">
        <is>
          <t>Cookie Setup</t>
        </is>
      </c>
      <c r="C10" s="20" t="inlineStr">
        <is>
          <t>V3.3.2</t>
        </is>
      </c>
      <c r="D10" s="21" t="inlineStr">
        <is>
          <t>Verify that each cookie's 'SameSite' attribute value is set according to the purpose of the cookie, to limit exposure to user interface redress attacks and browser-based request forgery attacks, commonly known as cross-site request forgery (CSRF).</t>
        </is>
      </c>
      <c r="E10" s="17" t="n">
        <v>2</v>
      </c>
      <c r="F10" s="18" t="inlineStr">
        <is>
          <t>Not Applicable</t>
        </is>
      </c>
      <c r="G10" s="21" t="n"/>
      <c r="H10" s="21" t="n"/>
    </row>
    <row r="11" ht="30" customHeight="1">
      <c r="A11" s="14" t="inlineStr">
        <is>
          <t>V3.3</t>
        </is>
      </c>
      <c r="B11" s="14" t="inlineStr">
        <is>
          <t>Cookie Setup</t>
        </is>
      </c>
      <c r="C11" s="15" t="inlineStr">
        <is>
          <t>V3.3.3</t>
        </is>
      </c>
      <c r="D11" s="16" t="inlineStr">
        <is>
          <t>Verify that cookies have the '__Host-' prefix for the cookie name unless they are explicitly designed to be shared with other hosts.</t>
        </is>
      </c>
      <c r="E11" s="17" t="n">
        <v>2</v>
      </c>
      <c r="F11" s="18" t="inlineStr">
        <is>
          <t>Not Applicable</t>
        </is>
      </c>
      <c r="G11" s="16" t="n"/>
      <c r="H11" s="16" t="n"/>
    </row>
    <row r="12" ht="30" customHeight="1">
      <c r="A12" s="19" t="inlineStr">
        <is>
          <t>V3.3</t>
        </is>
      </c>
      <c r="B12" s="19" t="inlineStr">
        <is>
          <t>Cookie Setup</t>
        </is>
      </c>
      <c r="C12" s="20" t="inlineStr">
        <is>
          <t>V3.3.4</t>
        </is>
      </c>
      <c r="D12" s="21"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17" t="n">
        <v>2</v>
      </c>
      <c r="F12" s="18" t="inlineStr">
        <is>
          <t>Not Applicable</t>
        </is>
      </c>
      <c r="G12" s="21" t="n"/>
      <c r="H12" s="21" t="n"/>
    </row>
    <row r="13" ht="30" customHeight="1">
      <c r="A13" s="14" t="inlineStr">
        <is>
          <t>V3.3</t>
        </is>
      </c>
      <c r="B13" s="14" t="inlineStr">
        <is>
          <t>Cookie Setup</t>
        </is>
      </c>
      <c r="C13" s="15" t="inlineStr">
        <is>
          <t>V3.3.5</t>
        </is>
      </c>
      <c r="D13" s="16"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23" t="n">
        <v>3</v>
      </c>
      <c r="F13" s="18" t="inlineStr">
        <is>
          <t>Not Applicable</t>
        </is>
      </c>
      <c r="G13" s="16" t="n"/>
      <c r="H13" s="16" t="n"/>
    </row>
    <row r="14" ht="18" customHeight="1">
      <c r="A14" s="13" t="inlineStr">
        <is>
          <t>V3.4</t>
        </is>
      </c>
      <c r="B14" s="13" t="inlineStr">
        <is>
          <t>Browser Security Mechanism Headers</t>
        </is>
      </c>
      <c r="C14" s="13" t="n"/>
      <c r="D14" s="13" t="n"/>
      <c r="E14" s="13" t="n"/>
      <c r="F14" s="13" t="n"/>
      <c r="G14" s="13" t="n"/>
      <c r="H14" s="13" t="n"/>
    </row>
    <row r="15" ht="30" customHeight="1">
      <c r="A15" s="14" t="inlineStr">
        <is>
          <t>V3.4</t>
        </is>
      </c>
      <c r="B15" s="14" t="inlineStr">
        <is>
          <t>Browser Security Mechanism Headers</t>
        </is>
      </c>
      <c r="C15" s="15" t="inlineStr">
        <is>
          <t>V3.4.1</t>
        </is>
      </c>
      <c r="D15" s="16"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22" t="n">
        <v>1</v>
      </c>
      <c r="F15" s="18" t="inlineStr">
        <is>
          <t>Not Applicable</t>
        </is>
      </c>
      <c r="G15" s="16" t="n"/>
      <c r="H15" s="16" t="n"/>
    </row>
    <row r="16" ht="30" customHeight="1">
      <c r="A16" s="19" t="inlineStr">
        <is>
          <t>V3.4</t>
        </is>
      </c>
      <c r="B16" s="19" t="inlineStr">
        <is>
          <t>Browser Security Mechanism Headers</t>
        </is>
      </c>
      <c r="C16" s="20" t="inlineStr">
        <is>
          <t>V3.4.2</t>
        </is>
      </c>
      <c r="D16" s="21"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22" t="n">
        <v>1</v>
      </c>
      <c r="F16" s="18" t="inlineStr">
        <is>
          <t>Not Applicable</t>
        </is>
      </c>
      <c r="G16" s="21" t="n"/>
      <c r="H16" s="21" t="n"/>
    </row>
    <row r="17" ht="30" customHeight="1">
      <c r="A17" s="14" t="inlineStr">
        <is>
          <t>V3.4</t>
        </is>
      </c>
      <c r="B17" s="14" t="inlineStr">
        <is>
          <t>Browser Security Mechanism Headers</t>
        </is>
      </c>
      <c r="C17" s="15" t="inlineStr">
        <is>
          <t>V3.4.3</t>
        </is>
      </c>
      <c r="D17" s="16"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17" t="n">
        <v>2</v>
      </c>
      <c r="F17" s="18" t="inlineStr">
        <is>
          <t>Not Applicable</t>
        </is>
      </c>
      <c r="G17" s="16" t="n"/>
      <c r="H17" s="16" t="n"/>
    </row>
    <row r="18" ht="30" customHeight="1">
      <c r="A18" s="19" t="inlineStr">
        <is>
          <t>V3.4</t>
        </is>
      </c>
      <c r="B18" s="19" t="inlineStr">
        <is>
          <t>Browser Security Mechanism Headers</t>
        </is>
      </c>
      <c r="C18" s="20" t="inlineStr">
        <is>
          <t>V3.4.4</t>
        </is>
      </c>
      <c r="D18" s="21"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17" t="n">
        <v>2</v>
      </c>
      <c r="F18" s="18" t="inlineStr">
        <is>
          <t>Not Applicable</t>
        </is>
      </c>
      <c r="G18" s="21" t="n"/>
      <c r="H18" s="21" t="n"/>
    </row>
    <row r="19" ht="30" customHeight="1">
      <c r="A19" s="14" t="inlineStr">
        <is>
          <t>V3.4</t>
        </is>
      </c>
      <c r="B19" s="14" t="inlineStr">
        <is>
          <t>Browser Security Mechanism Headers</t>
        </is>
      </c>
      <c r="C19" s="15" t="inlineStr">
        <is>
          <t>V3.4.5</t>
        </is>
      </c>
      <c r="D19" s="16"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17" t="n">
        <v>2</v>
      </c>
      <c r="F19" s="18" t="inlineStr">
        <is>
          <t>Not Applicable</t>
        </is>
      </c>
      <c r="G19" s="16" t="n"/>
      <c r="H19" s="16" t="n"/>
    </row>
    <row r="20" ht="30" customHeight="1">
      <c r="A20" s="19" t="inlineStr">
        <is>
          <t>V3.4</t>
        </is>
      </c>
      <c r="B20" s="19" t="inlineStr">
        <is>
          <t>Browser Security Mechanism Headers</t>
        </is>
      </c>
      <c r="C20" s="20" t="inlineStr">
        <is>
          <t>V3.4.6</t>
        </is>
      </c>
      <c r="D20" s="21"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17" t="n">
        <v>2</v>
      </c>
      <c r="F20" s="18" t="inlineStr">
        <is>
          <t>Not Applicable</t>
        </is>
      </c>
      <c r="G20" s="21" t="n"/>
      <c r="H20" s="21" t="n"/>
    </row>
    <row r="21" ht="30" customHeight="1">
      <c r="A21" s="14" t="inlineStr">
        <is>
          <t>V3.4</t>
        </is>
      </c>
      <c r="B21" s="14" t="inlineStr">
        <is>
          <t>Browser Security Mechanism Headers</t>
        </is>
      </c>
      <c r="C21" s="15" t="inlineStr">
        <is>
          <t>V3.4.7</t>
        </is>
      </c>
      <c r="D21" s="16" t="inlineStr">
        <is>
          <t>Verify that the Content-Security-Policy header field specifies a location to report violations.</t>
        </is>
      </c>
      <c r="E21" s="23" t="n">
        <v>3</v>
      </c>
      <c r="F21" s="18" t="inlineStr">
        <is>
          <t>Not Applicable</t>
        </is>
      </c>
      <c r="G21" s="16" t="n"/>
      <c r="H21" s="16" t="n"/>
    </row>
    <row r="22" ht="30" customHeight="1">
      <c r="A22" s="19" t="inlineStr">
        <is>
          <t>V3.4</t>
        </is>
      </c>
      <c r="B22" s="19" t="inlineStr">
        <is>
          <t>Browser Security Mechanism Headers</t>
        </is>
      </c>
      <c r="C22" s="20" t="inlineStr">
        <is>
          <t>V3.4.8</t>
        </is>
      </c>
      <c r="D22" s="21"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23" t="n">
        <v>3</v>
      </c>
      <c r="F22" s="18" t="inlineStr">
        <is>
          <t>Not Applicable</t>
        </is>
      </c>
      <c r="G22" s="21" t="n"/>
      <c r="H22" s="21" t="n"/>
    </row>
    <row r="23" ht="18" customHeight="1">
      <c r="A23" s="13" t="inlineStr">
        <is>
          <t>V3.5</t>
        </is>
      </c>
      <c r="B23" s="13" t="inlineStr">
        <is>
          <t>Browser Origin Separation</t>
        </is>
      </c>
      <c r="C23" s="13" t="n"/>
      <c r="D23" s="13" t="n"/>
      <c r="E23" s="13" t="n"/>
      <c r="F23" s="13" t="n"/>
      <c r="G23" s="13" t="n"/>
      <c r="H23" s="13" t="n"/>
    </row>
    <row r="24" ht="30" customHeight="1">
      <c r="A24" s="14" t="inlineStr">
        <is>
          <t>V3.5</t>
        </is>
      </c>
      <c r="B24" s="14" t="inlineStr">
        <is>
          <t>Browser Origin Separation</t>
        </is>
      </c>
      <c r="C24" s="15" t="inlineStr">
        <is>
          <t>V3.5.1</t>
        </is>
      </c>
      <c r="D24" s="16"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22" t="n">
        <v>1</v>
      </c>
      <c r="F24" s="18" t="inlineStr">
        <is>
          <t>Not Applicable</t>
        </is>
      </c>
      <c r="G24" s="16" t="n"/>
      <c r="H24" s="16" t="n"/>
    </row>
    <row r="25" ht="30" customHeight="1">
      <c r="A25" s="19" t="inlineStr">
        <is>
          <t>V3.5</t>
        </is>
      </c>
      <c r="B25" s="19" t="inlineStr">
        <is>
          <t>Browser Origin Separation</t>
        </is>
      </c>
      <c r="C25" s="20" t="inlineStr">
        <is>
          <t>V3.5.2</t>
        </is>
      </c>
      <c r="D25" s="21"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22" t="n">
        <v>1</v>
      </c>
      <c r="F25" s="18" t="inlineStr">
        <is>
          <t>Not Applicable</t>
        </is>
      </c>
      <c r="G25" s="21" t="n"/>
      <c r="H25" s="21" t="n"/>
    </row>
    <row r="26" ht="30" customHeight="1">
      <c r="A26" s="14" t="inlineStr">
        <is>
          <t>V3.5</t>
        </is>
      </c>
      <c r="B26" s="14" t="inlineStr">
        <is>
          <t>Browser Origin Separation</t>
        </is>
      </c>
      <c r="C26" s="15" t="inlineStr">
        <is>
          <t>V3.5.3</t>
        </is>
      </c>
      <c r="D26" s="16"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22" t="n">
        <v>1</v>
      </c>
      <c r="F26" s="18" t="inlineStr">
        <is>
          <t>Not Applicable</t>
        </is>
      </c>
      <c r="G26" s="16" t="n"/>
      <c r="H26" s="16" t="n"/>
    </row>
    <row r="27" ht="30" customHeight="1">
      <c r="A27" s="19" t="inlineStr">
        <is>
          <t>V3.5</t>
        </is>
      </c>
      <c r="B27" s="19" t="inlineStr">
        <is>
          <t>Browser Origin Separation</t>
        </is>
      </c>
      <c r="C27" s="20" t="inlineStr">
        <is>
          <t>V3.5.4</t>
        </is>
      </c>
      <c r="D27" s="21"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17" t="n">
        <v>2</v>
      </c>
      <c r="F27" s="18" t="inlineStr">
        <is>
          <t>Not Applicable</t>
        </is>
      </c>
      <c r="G27" s="21" t="n"/>
      <c r="H27" s="21" t="n"/>
    </row>
    <row r="28" ht="30" customHeight="1">
      <c r="A28" s="14" t="inlineStr">
        <is>
          <t>V3.5</t>
        </is>
      </c>
      <c r="B28" s="14" t="inlineStr">
        <is>
          <t>Browser Origin Separation</t>
        </is>
      </c>
      <c r="C28" s="15" t="inlineStr">
        <is>
          <t>V3.5.5</t>
        </is>
      </c>
      <c r="D28" s="16" t="inlineStr">
        <is>
          <t>Verify that messages received by the postMessage interface are discarded if the origin of the message is not trusted, or if the syntax of the message is invalid.</t>
        </is>
      </c>
      <c r="E28" s="17" t="n">
        <v>2</v>
      </c>
      <c r="F28" s="18" t="inlineStr">
        <is>
          <t>Not Applicable</t>
        </is>
      </c>
      <c r="G28" s="16" t="n"/>
      <c r="H28" s="16" t="n"/>
    </row>
    <row r="29" ht="30" customHeight="1">
      <c r="A29" s="19" t="inlineStr">
        <is>
          <t>V3.5</t>
        </is>
      </c>
      <c r="B29" s="19" t="inlineStr">
        <is>
          <t>Browser Origin Separation</t>
        </is>
      </c>
      <c r="C29" s="20" t="inlineStr">
        <is>
          <t>V3.5.6</t>
        </is>
      </c>
      <c r="D29" s="21" t="inlineStr">
        <is>
          <t>Verify that JSONP functionality is not enabled anywhere across the application to avoid Cross-Site Script Inclusion (XSSI) attacks.</t>
        </is>
      </c>
      <c r="E29" s="23" t="n">
        <v>3</v>
      </c>
      <c r="F29" s="18" t="inlineStr">
        <is>
          <t>Not Applicable</t>
        </is>
      </c>
      <c r="G29" s="21" t="n"/>
      <c r="H29" s="21" t="n"/>
    </row>
    <row r="30" ht="30" customHeight="1">
      <c r="A30" s="14" t="inlineStr">
        <is>
          <t>V3.5</t>
        </is>
      </c>
      <c r="B30" s="14" t="inlineStr">
        <is>
          <t>Browser Origin Separation</t>
        </is>
      </c>
      <c r="C30" s="15" t="inlineStr">
        <is>
          <t>V3.5.7</t>
        </is>
      </c>
      <c r="D30" s="16" t="inlineStr">
        <is>
          <t>Verify that data requiring authorization is not included in script resource responses, like JavaScript files, to prevent Cross-Site Script Inclusion (XSSI) attacks.</t>
        </is>
      </c>
      <c r="E30" s="23" t="n">
        <v>3</v>
      </c>
      <c r="F30" s="18" t="inlineStr">
        <is>
          <t>Not Applicable</t>
        </is>
      </c>
      <c r="G30" s="16" t="n"/>
      <c r="H30" s="16" t="n"/>
    </row>
    <row r="31" ht="30" customHeight="1">
      <c r="A31" s="19" t="inlineStr">
        <is>
          <t>V3.5</t>
        </is>
      </c>
      <c r="B31" s="19" t="inlineStr">
        <is>
          <t>Browser Origin Separation</t>
        </is>
      </c>
      <c r="C31" s="20" t="inlineStr">
        <is>
          <t>V3.5.8</t>
        </is>
      </c>
      <c r="D31" s="21"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23" t="n">
        <v>3</v>
      </c>
      <c r="F31" s="18" t="inlineStr">
        <is>
          <t>Not Applicable</t>
        </is>
      </c>
      <c r="G31" s="21" t="n"/>
      <c r="H31" s="21" t="n"/>
    </row>
    <row r="32" ht="18" customHeight="1">
      <c r="A32" s="13" t="inlineStr">
        <is>
          <t>V3.6</t>
        </is>
      </c>
      <c r="B32" s="13" t="inlineStr">
        <is>
          <t>External Resource Integrity</t>
        </is>
      </c>
      <c r="C32" s="13" t="n"/>
      <c r="D32" s="13" t="n"/>
      <c r="E32" s="13" t="n"/>
      <c r="F32" s="13" t="n"/>
      <c r="G32" s="13" t="n"/>
      <c r="H32" s="13" t="n"/>
    </row>
    <row r="33" ht="30" customHeight="1">
      <c r="A33" s="14" t="inlineStr">
        <is>
          <t>V3.6</t>
        </is>
      </c>
      <c r="B33" s="14" t="inlineStr">
        <is>
          <t>External Resource Integrity</t>
        </is>
      </c>
      <c r="C33" s="15" t="inlineStr">
        <is>
          <t>V3.6.1</t>
        </is>
      </c>
      <c r="D33" s="16"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23" t="n">
        <v>3</v>
      </c>
      <c r="F33" s="18" t="inlineStr">
        <is>
          <t>Not Applicable</t>
        </is>
      </c>
      <c r="G33" s="16" t="n"/>
      <c r="H33" s="16" t="n"/>
    </row>
    <row r="34" ht="18" customHeight="1">
      <c r="A34" s="13" t="inlineStr">
        <is>
          <t>V3.7</t>
        </is>
      </c>
      <c r="B34" s="13" t="inlineStr">
        <is>
          <t>Other Browser Security Considerations</t>
        </is>
      </c>
      <c r="C34" s="13" t="n"/>
      <c r="D34" s="13" t="n"/>
      <c r="E34" s="13" t="n"/>
      <c r="F34" s="13" t="n"/>
      <c r="G34" s="13" t="n"/>
      <c r="H34" s="13" t="n"/>
    </row>
    <row r="35" ht="30" customHeight="1">
      <c r="A35" s="14" t="inlineStr">
        <is>
          <t>V3.7</t>
        </is>
      </c>
      <c r="B35" s="14" t="inlineStr">
        <is>
          <t>Other Browser Security Considerations</t>
        </is>
      </c>
      <c r="C35" s="15" t="inlineStr">
        <is>
          <t>V3.7.1</t>
        </is>
      </c>
      <c r="D35" s="16"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17" t="n">
        <v>2</v>
      </c>
      <c r="F35" s="18" t="inlineStr">
        <is>
          <t>Not Applicable</t>
        </is>
      </c>
      <c r="G35" s="16" t="n"/>
      <c r="H35" s="16" t="n"/>
    </row>
    <row r="36" ht="30" customHeight="1">
      <c r="A36" s="19" t="inlineStr">
        <is>
          <t>V3.7</t>
        </is>
      </c>
      <c r="B36" s="19" t="inlineStr">
        <is>
          <t>Other Browser Security Considerations</t>
        </is>
      </c>
      <c r="C36" s="20" t="inlineStr">
        <is>
          <t>V3.7.2</t>
        </is>
      </c>
      <c r="D36" s="21" t="inlineStr">
        <is>
          <t>Verify that the application will only automatically redirect the user to a different hostname or domain (which is not controlled by the application) where the destination appears on an allowlist.</t>
        </is>
      </c>
      <c r="E36" s="17" t="n">
        <v>2</v>
      </c>
      <c r="F36" s="18" t="inlineStr">
        <is>
          <t>Not Applicable</t>
        </is>
      </c>
      <c r="G36" s="21" t="n"/>
      <c r="H36" s="21" t="n"/>
    </row>
    <row r="37" ht="30" customHeight="1">
      <c r="A37" s="14" t="inlineStr">
        <is>
          <t>V3.7</t>
        </is>
      </c>
      <c r="B37" s="14" t="inlineStr">
        <is>
          <t>Other Browser Security Considerations</t>
        </is>
      </c>
      <c r="C37" s="15" t="inlineStr">
        <is>
          <t>V3.7.3</t>
        </is>
      </c>
      <c r="D37" s="16" t="inlineStr">
        <is>
          <t>Verify that the application shows a notification when the user is being redirected to a URL outside of the application's control, with an option to cancel the navigation.</t>
        </is>
      </c>
      <c r="E37" s="23" t="n">
        <v>3</v>
      </c>
      <c r="F37" s="18" t="inlineStr">
        <is>
          <t>Not Applicable</t>
        </is>
      </c>
      <c r="G37" s="16" t="n"/>
      <c r="H37" s="16" t="n"/>
    </row>
    <row r="38" ht="30" customHeight="1">
      <c r="A38" s="19" t="inlineStr">
        <is>
          <t>V3.7</t>
        </is>
      </c>
      <c r="B38" s="19" t="inlineStr">
        <is>
          <t>Other Browser Security Considerations</t>
        </is>
      </c>
      <c r="C38" s="20" t="inlineStr">
        <is>
          <t>V3.7.4</t>
        </is>
      </c>
      <c r="D38" s="21"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23" t="n">
        <v>3</v>
      </c>
      <c r="F38" s="18" t="inlineStr">
        <is>
          <t>Not Applicable</t>
        </is>
      </c>
      <c r="G38" s="21" t="n"/>
      <c r="H38" s="21" t="n"/>
    </row>
    <row r="39" ht="30" customHeight="1">
      <c r="A39" s="14" t="inlineStr">
        <is>
          <t>V3.7</t>
        </is>
      </c>
      <c r="B39" s="14" t="inlineStr">
        <is>
          <t>Other Browser Security Considerations</t>
        </is>
      </c>
      <c r="C39" s="15" t="inlineStr">
        <is>
          <t>V3.7.5</t>
        </is>
      </c>
      <c r="D39" s="16" t="inlineStr">
        <is>
          <t>Verify that the application behaves as documented (such as warning the user or blocking access) if the browser used to access the application does not support the expected security features.</t>
        </is>
      </c>
      <c r="E39" s="23" t="n">
        <v>3</v>
      </c>
      <c r="F39" s="18" t="inlineStr">
        <is>
          <t>Not Applicable</t>
        </is>
      </c>
      <c r="G39" s="16" t="n"/>
      <c r="H39" s="16" t="n"/>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5.xml><?xml version="1.0" encoding="utf-8"?>
<worksheet xmlns="http://schemas.openxmlformats.org/spreadsheetml/2006/main">
  <sheetPr>
    <outlinePr summaryBelow="1" summaryRight="1"/>
    <pageSetUpPr/>
  </sheetPr>
  <dimension ref="A1:H21"/>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V4.1</t>
        </is>
      </c>
      <c r="B2" s="13" t="inlineStr">
        <is>
          <t>Generic Web Service Security</t>
        </is>
      </c>
      <c r="C2" s="13" t="n"/>
      <c r="D2" s="13" t="n"/>
      <c r="E2" s="13" t="n"/>
      <c r="F2" s="13" t="n"/>
      <c r="G2" s="13" t="n"/>
      <c r="H2" s="13" t="n"/>
    </row>
    <row r="3" ht="30" customHeight="1">
      <c r="A3" s="14" t="inlineStr">
        <is>
          <t>V4.1</t>
        </is>
      </c>
      <c r="B3" s="14" t="inlineStr">
        <is>
          <t>Generic Web Service Security</t>
        </is>
      </c>
      <c r="C3" s="15" t="inlineStr">
        <is>
          <t>V4.1.1</t>
        </is>
      </c>
      <c r="D3" s="16"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22" t="n">
        <v>1</v>
      </c>
      <c r="F3" s="18" t="inlineStr">
        <is>
          <t>Compliant</t>
        </is>
      </c>
      <c r="G3" s="16" t="inlineStr">
        <is>
          <t>Spring Boot defaults to application/json;charset=UTF-8 on JSON responses; the export endpoint explicitly sets Content-Type=application/octet-stream with a Content-Disposition header and X-Content-Type-Options=nosniff.</t>
        </is>
      </c>
      <c r="H3" s="16" t="inlineStr">
        <is>
          <t>backend/src/main/java/com/kryptos/filehandling/api/ImportExportController.java#exportCredentials</t>
        </is>
      </c>
    </row>
    <row r="4" ht="30" customHeight="1">
      <c r="A4" s="19" t="inlineStr">
        <is>
          <t>V4.1</t>
        </is>
      </c>
      <c r="B4" s="19" t="inlineStr">
        <is>
          <t>Generic Web Service Security</t>
        </is>
      </c>
      <c r="C4" s="20" t="inlineStr">
        <is>
          <t>V4.1.2</t>
        </is>
      </c>
      <c r="D4" s="21"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17" t="n">
        <v>2</v>
      </c>
      <c r="F4" s="18" t="inlineStr">
        <is>
          <t>Not Applicable</t>
        </is>
      </c>
      <c r="G4" s="21" t="n"/>
      <c r="H4" s="21" t="n"/>
    </row>
    <row r="5" ht="30" customHeight="1">
      <c r="A5" s="14" t="inlineStr">
        <is>
          <t>V4.1</t>
        </is>
      </c>
      <c r="B5" s="14" t="inlineStr">
        <is>
          <t>Generic Web Service Security</t>
        </is>
      </c>
      <c r="C5" s="15" t="inlineStr">
        <is>
          <t>V4.1.3</t>
        </is>
      </c>
      <c r="D5" s="16"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17" t="n">
        <v>2</v>
      </c>
      <c r="F5" s="18" t="inlineStr">
        <is>
          <t>Not Started</t>
        </is>
      </c>
      <c r="G5" s="16" t="inlineStr">
        <is>
          <t>Applicable to Kryptos due to potential deployment behind proxies/load balancers; need to ensure user-supplied headers cannot override system-set headers.</t>
        </is>
      </c>
      <c r="H5" s="16" t="n"/>
    </row>
    <row r="6" ht="30" customHeight="1">
      <c r="A6" s="19" t="inlineStr">
        <is>
          <t>V4.1</t>
        </is>
      </c>
      <c r="B6" s="19" t="inlineStr">
        <is>
          <t>Generic Web Service Security</t>
        </is>
      </c>
      <c r="C6" s="20" t="inlineStr">
        <is>
          <t>V4.1.4</t>
        </is>
      </c>
      <c r="D6" s="21" t="inlineStr">
        <is>
          <t>Verify that only HTTP methods that are explicitly supported by the application or its API (including OPTIONS during preflight requests) can be used and that unused methods are blocked.</t>
        </is>
      </c>
      <c r="E6" s="23" t="n">
        <v>3</v>
      </c>
      <c r="F6" s="18" t="inlineStr">
        <is>
          <t>In Progress</t>
        </is>
      </c>
      <c r="G6" s="21" t="inlineStr">
        <is>
          <t>Spring MVC returns 405 by default for HTTP methods that are not mapped, and the only mapped methods per endpoint are explicit (POST/GET/PUT/DELETE/PATCH). An explicit method allowlist filter is not in place.</t>
        </is>
      </c>
      <c r="H6" s="21" t="inlineStr">
        <is>
          <t>backend/src/main/java/com/kryptos/**/api/*Controller.java</t>
        </is>
      </c>
    </row>
    <row r="7" ht="30" customHeight="1">
      <c r="A7" s="14" t="inlineStr">
        <is>
          <t>V4.1</t>
        </is>
      </c>
      <c r="B7" s="14" t="inlineStr">
        <is>
          <t>Generic Web Service Security</t>
        </is>
      </c>
      <c r="C7" s="15" t="inlineStr">
        <is>
          <t>V4.1.5</t>
        </is>
      </c>
      <c r="D7" s="16" t="inlineStr">
        <is>
          <t>Verify that per-message digital signatures are used to provide additional assurance on top of transport protections for requests or transactions which are highly sensitive or which traverse a number of systems.</t>
        </is>
      </c>
      <c r="E7" s="23" t="n">
        <v>3</v>
      </c>
      <c r="F7" s="18" t="inlineStr">
        <is>
          <t>Not Started</t>
        </is>
      </c>
      <c r="G7" s="16" t="inlineStr">
        <is>
          <t>Applicable to Kryptos due to HTTP header management; need to ensure that user input cannot manipulate or override security-relevant response headers.</t>
        </is>
      </c>
      <c r="H7" s="16" t="n"/>
    </row>
    <row r="8" ht="18" customHeight="1">
      <c r="A8" s="13" t="inlineStr">
        <is>
          <t>V4.2</t>
        </is>
      </c>
      <c r="B8" s="13" t="inlineStr">
        <is>
          <t>HTTP Message Structure Validation</t>
        </is>
      </c>
      <c r="C8" s="13" t="n"/>
      <c r="D8" s="13" t="n"/>
      <c r="E8" s="13" t="n"/>
      <c r="F8" s="13" t="n"/>
      <c r="G8" s="13" t="n"/>
      <c r="H8" s="13" t="n"/>
    </row>
    <row r="9" ht="30" customHeight="1">
      <c r="A9" s="14" t="inlineStr">
        <is>
          <t>V4.2</t>
        </is>
      </c>
      <c r="B9" s="14" t="inlineStr">
        <is>
          <t>HTTP Message Structure Validation</t>
        </is>
      </c>
      <c r="C9" s="15" t="inlineStr">
        <is>
          <t>V4.2.1</t>
        </is>
      </c>
      <c r="D9" s="16"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17" t="n">
        <v>2</v>
      </c>
      <c r="F9" s="18" t="inlineStr">
        <is>
          <t>Not Started</t>
        </is>
      </c>
      <c r="G9" s="16" t="inlineStr">
        <is>
          <t>Applicable to Kryptos due to sensitive vault and credential data; need to enforce strict JWT-based authentication and authorization for every API endpoint.</t>
        </is>
      </c>
      <c r="H9" s="16" t="n"/>
    </row>
    <row r="10" ht="30" customHeight="1">
      <c r="A10" s="19" t="inlineStr">
        <is>
          <t>V4.2</t>
        </is>
      </c>
      <c r="B10" s="19" t="inlineStr">
        <is>
          <t>HTTP Message Structure Validation</t>
        </is>
      </c>
      <c r="C10" s="20" t="inlineStr">
        <is>
          <t>V4.2.2</t>
        </is>
      </c>
      <c r="D10" s="21" t="inlineStr">
        <is>
          <t>Verify that when generating HTTP messages, the Content-Length header field does not conflict with the length of the content as determined by the framing of the HTTP protocol, in order to prevent request smuggling attacks.</t>
        </is>
      </c>
      <c r="E10" s="23" t="n">
        <v>3</v>
      </c>
      <c r="F10" s="18" t="inlineStr">
        <is>
          <t>Not Started</t>
        </is>
      </c>
      <c r="G10" s="21" t="inlineStr">
        <is>
          <t>Applicable to Kryptos due to multi-tenant vault management; need to implement ownership checks to ensure users only access their own credentials.</t>
        </is>
      </c>
      <c r="H10" s="21" t="n"/>
    </row>
    <row r="11" ht="30" customHeight="1">
      <c r="A11" s="14" t="inlineStr">
        <is>
          <t>V4.2</t>
        </is>
      </c>
      <c r="B11" s="14" t="inlineStr">
        <is>
          <t>HTTP Message Structure Validation</t>
        </is>
      </c>
      <c r="C11" s="15" t="inlineStr">
        <is>
          <t>V4.2.3</t>
        </is>
      </c>
      <c r="D11" s="16" t="inlineStr">
        <is>
          <t>Verify that the application does not send nor accept HTTP/2 or HTTP/3 messages with connection-specific header fields such as Transfer-Encoding to prevent response splitting and header injection attacks.</t>
        </is>
      </c>
      <c r="E11" s="23" t="n">
        <v>3</v>
      </c>
      <c r="F11" s="18" t="inlineStr">
        <is>
          <t>Not Started</t>
        </is>
      </c>
      <c r="G11" s="16" t="inlineStr">
        <is>
          <t>Applicable to Kryptos due to entity update operations; need to use Data Transfer Objects (DTOs) to prevent users from updating fields they shouldn't.</t>
        </is>
      </c>
      <c r="H11" s="16" t="n"/>
    </row>
    <row r="12" ht="30" customHeight="1">
      <c r="A12" s="19" t="inlineStr">
        <is>
          <t>V4.2</t>
        </is>
      </c>
      <c r="B12" s="19" t="inlineStr">
        <is>
          <t>HTTP Message Structure Validation</t>
        </is>
      </c>
      <c r="C12" s="20" t="inlineStr">
        <is>
          <t>V4.2.4</t>
        </is>
      </c>
      <c r="D12" s="21" t="inlineStr">
        <is>
          <t>Verify that the application only accepts HTTP/2 and HTTP/3 requests where the header fields and values do not contain any CR (\r), LF (\n), or CRLF (\r\n) sequences, to prevent header injection attacks.</t>
        </is>
      </c>
      <c r="E12" s="23" t="n">
        <v>3</v>
      </c>
      <c r="F12" s="18" t="inlineStr">
        <is>
          <t>Not Started</t>
        </is>
      </c>
      <c r="G12" s="21" t="inlineStr">
        <is>
          <t>Applicable to Kryptos due to strict JSON requirements; need to configure the API to reject any requests with unsupported Content-Types.</t>
        </is>
      </c>
      <c r="H12" s="21" t="n"/>
    </row>
    <row r="13" ht="30" customHeight="1">
      <c r="A13" s="14" t="inlineStr">
        <is>
          <t>V4.2</t>
        </is>
      </c>
      <c r="B13" s="14" t="inlineStr">
        <is>
          <t>HTTP Message Structure Validation</t>
        </is>
      </c>
      <c r="C13" s="15" t="inlineStr">
        <is>
          <t>V4.2.5</t>
        </is>
      </c>
      <c r="D13" s="16"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23" t="n">
        <v>3</v>
      </c>
      <c r="F13" s="18" t="inlineStr">
        <is>
          <t>Not Started</t>
        </is>
      </c>
      <c r="G13" s="28" t="inlineStr">
        <is>
          <t>Applicable to Kryptos due to error response handling; need to implement global exception handlers to strip stack traces and internal DB details from API responses.</t>
        </is>
      </c>
      <c r="H13" s="16" t="n"/>
    </row>
    <row r="14" ht="18" customHeight="1">
      <c r="A14" s="13" t="inlineStr">
        <is>
          <t>V4.3</t>
        </is>
      </c>
      <c r="B14" s="13" t="inlineStr">
        <is>
          <t>GraphQL</t>
        </is>
      </c>
      <c r="C14" s="13" t="n"/>
      <c r="D14" s="13" t="n"/>
      <c r="E14" s="13" t="n"/>
      <c r="F14" s="13" t="n"/>
      <c r="G14" s="13" t="n"/>
      <c r="H14" s="13" t="n"/>
    </row>
    <row r="15" ht="30" customHeight="1">
      <c r="A15" s="14" t="inlineStr">
        <is>
          <t>V4.3</t>
        </is>
      </c>
      <c r="B15" s="14" t="inlineStr">
        <is>
          <t>GraphQL</t>
        </is>
      </c>
      <c r="C15" s="15" t="inlineStr">
        <is>
          <t>V4.3.1</t>
        </is>
      </c>
      <c r="D15" s="16" t="inlineStr">
        <is>
          <t>Verify that a query allowlist, depth limiting, amount limiting, or query cost analysis is used to prevent GraphQL or data layer expression Denial of Service (DoS) as a result of expensive, nested queries.</t>
        </is>
      </c>
      <c r="E15" s="17" t="n">
        <v>2</v>
      </c>
      <c r="F15" s="18" t="inlineStr">
        <is>
          <t>Not Applicable</t>
        </is>
      </c>
      <c r="G15" s="16" t="n"/>
      <c r="H15" s="16" t="n"/>
    </row>
    <row r="16" ht="30" customHeight="1">
      <c r="A16" s="19" t="inlineStr">
        <is>
          <t>V4.3</t>
        </is>
      </c>
      <c r="B16" s="19" t="inlineStr">
        <is>
          <t>GraphQL</t>
        </is>
      </c>
      <c r="C16" s="20" t="inlineStr">
        <is>
          <t>V4.3.2</t>
        </is>
      </c>
      <c r="D16" s="21" t="inlineStr">
        <is>
          <t>Verify that GraphQL introspection queries are disabled in the production environment unless the GraphQL API is meant to be used by other parties.</t>
        </is>
      </c>
      <c r="E16" s="17" t="n">
        <v>2</v>
      </c>
      <c r="F16" s="18" t="inlineStr">
        <is>
          <t>Not Applicable</t>
        </is>
      </c>
      <c r="G16" s="21" t="n"/>
      <c r="H16" s="21" t="n"/>
    </row>
    <row r="17" ht="18" customHeight="1">
      <c r="A17" s="13" t="inlineStr">
        <is>
          <t>V4.4</t>
        </is>
      </c>
      <c r="B17" s="13" t="inlineStr">
        <is>
          <t>WebSocket</t>
        </is>
      </c>
      <c r="C17" s="13" t="n"/>
      <c r="D17" s="13" t="n"/>
      <c r="E17" s="13" t="n"/>
      <c r="F17" s="13" t="n"/>
      <c r="G17" s="13" t="n"/>
      <c r="H17" s="13" t="n"/>
    </row>
    <row r="18" ht="30" customHeight="1">
      <c r="A18" s="14" t="inlineStr">
        <is>
          <t>V4.4</t>
        </is>
      </c>
      <c r="B18" s="14" t="inlineStr">
        <is>
          <t>WebSocket</t>
        </is>
      </c>
      <c r="C18" s="15" t="inlineStr">
        <is>
          <t>V4.4.1</t>
        </is>
      </c>
      <c r="D18" s="16" t="inlineStr">
        <is>
          <t>Verify that WebSocket over TLS (WSS) is used for all WebSocket connections.</t>
        </is>
      </c>
      <c r="E18" s="22" t="n">
        <v>1</v>
      </c>
      <c r="F18" s="18" t="inlineStr">
        <is>
          <t>Not Applicable</t>
        </is>
      </c>
      <c r="G18" s="16" t="n"/>
      <c r="H18" s="16" t="n"/>
    </row>
    <row r="19" ht="30" customHeight="1">
      <c r="A19" s="19" t="inlineStr">
        <is>
          <t>V4.4</t>
        </is>
      </c>
      <c r="B19" s="19" t="inlineStr">
        <is>
          <t>WebSocket</t>
        </is>
      </c>
      <c r="C19" s="20" t="inlineStr">
        <is>
          <t>V4.4.2</t>
        </is>
      </c>
      <c r="D19" s="21" t="inlineStr">
        <is>
          <t>Verify that, during the initial HTTP WebSocket handshake, the Origin header field is checked against a list of origins allowed for the application.</t>
        </is>
      </c>
      <c r="E19" s="17" t="n">
        <v>2</v>
      </c>
      <c r="F19" s="18" t="inlineStr">
        <is>
          <t>Not Applicable</t>
        </is>
      </c>
      <c r="G19" s="21" t="n"/>
      <c r="H19" s="21" t="n"/>
    </row>
    <row r="20" ht="30" customHeight="1">
      <c r="A20" s="14" t="inlineStr">
        <is>
          <t>V4.4</t>
        </is>
      </c>
      <c r="B20" s="14" t="inlineStr">
        <is>
          <t>WebSocket</t>
        </is>
      </c>
      <c r="C20" s="15" t="inlineStr">
        <is>
          <t>V4.4.3</t>
        </is>
      </c>
      <c r="D20" s="16" t="inlineStr">
        <is>
          <t>Verify that, if the application's standard session management cannot be used, dedicated tokens are being used for this, which comply with the relevant Session Management security requirements.</t>
        </is>
      </c>
      <c r="E20" s="17" t="n">
        <v>2</v>
      </c>
      <c r="F20" s="18" t="inlineStr">
        <is>
          <t>Not Applicable</t>
        </is>
      </c>
      <c r="G20" s="16" t="n"/>
      <c r="H20" s="16" t="n"/>
    </row>
    <row r="21" ht="30" customHeight="1">
      <c r="A21" s="19" t="inlineStr">
        <is>
          <t>V4.4</t>
        </is>
      </c>
      <c r="B21" s="19" t="inlineStr">
        <is>
          <t>WebSocket</t>
        </is>
      </c>
      <c r="C21" s="20" t="inlineStr">
        <is>
          <t>V4.4.4</t>
        </is>
      </c>
      <c r="D21" s="21" t="inlineStr">
        <is>
          <t>Verify that dedicated WebSocket session management tokens are initially obtained or validated through the previously authenticated HTTPS session when transitioning an existing HTTPS session to a WebSocket channel.</t>
        </is>
      </c>
      <c r="E21" s="17" t="n">
        <v>2</v>
      </c>
      <c r="F21" s="18" t="inlineStr">
        <is>
          <t>Not Applicable</t>
        </is>
      </c>
      <c r="G21" s="21" t="n"/>
      <c r="H21" s="21" t="n"/>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6.xml><?xml version="1.0" encoding="utf-8"?>
<worksheet xmlns="http://schemas.openxmlformats.org/spreadsheetml/2006/main">
  <sheetPr>
    <outlinePr summaryBelow="1" summaryRight="1"/>
    <pageSetUpPr/>
  </sheetPr>
  <dimension ref="A1:H18"/>
  <sheetViews>
    <sheetView zoomScaleNormal="75" workbookViewId="0">
      <pane ySplit="1" topLeftCell="A2" activePane="bottomLeft" state="frozen"/>
      <selection pane="bottomLeft" activeCell="A1" sqref="A1"/>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V5.1</t>
        </is>
      </c>
      <c r="B2" s="13" t="inlineStr">
        <is>
          <t>File Handling Documentation</t>
        </is>
      </c>
      <c r="C2" s="13" t="n"/>
      <c r="D2" s="13" t="n"/>
      <c r="E2" s="13" t="n"/>
      <c r="F2" s="13" t="n"/>
      <c r="G2" s="13" t="n"/>
      <c r="H2" s="13" t="n"/>
    </row>
    <row r="3" ht="30" customHeight="1">
      <c r="A3" s="14" t="inlineStr">
        <is>
          <t>V5.1</t>
        </is>
      </c>
      <c r="B3" s="14" t="inlineStr">
        <is>
          <t>File Handling Documentation</t>
        </is>
      </c>
      <c r="C3" s="15" t="inlineStr">
        <is>
          <t>V5.1.1</t>
        </is>
      </c>
      <c r="D3" s="16"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17" t="n">
        <v>2</v>
      </c>
      <c r="F3" s="18" t="inlineStr">
        <is>
          <t>In Progress</t>
        </is>
      </c>
      <c r="G3" s="16" t="inlineStr">
        <is>
          <t>Limits exist in code (5 MiB upload cap → 413, 50 000 line record cap, extension allowlist [A-Za-z0-9]{1,8}, 0600 file perms). A formal upload-feature documentation matrix is still pending.</t>
        </is>
      </c>
      <c r="H3" s="16" t="inlineStr">
        <is>
          <t>FileHandlingService.java; ImportExportController.java</t>
        </is>
      </c>
    </row>
    <row r="4" ht="18" customHeight="1">
      <c r="A4" s="13" t="inlineStr">
        <is>
          <t>V5.2</t>
        </is>
      </c>
      <c r="B4" s="13" t="inlineStr">
        <is>
          <t>File Upload and Content</t>
        </is>
      </c>
      <c r="C4" s="13" t="n"/>
      <c r="D4" s="13" t="n"/>
      <c r="E4" s="13" t="n"/>
      <c r="F4" s="13" t="n"/>
      <c r="G4" s="13" t="n"/>
      <c r="H4" s="13" t="n"/>
    </row>
    <row r="5" ht="30" customHeight="1">
      <c r="A5" s="14" t="inlineStr">
        <is>
          <t>V5.2</t>
        </is>
      </c>
      <c r="B5" s="14" t="inlineStr">
        <is>
          <t>File Upload and Content</t>
        </is>
      </c>
      <c r="C5" s="15" t="inlineStr">
        <is>
          <t>V5.2.1</t>
        </is>
      </c>
      <c r="D5" s="16" t="inlineStr">
        <is>
          <t>Verify that the application will only accept files of a size which it can process without causing a loss of performance or a denial of service attack.</t>
        </is>
      </c>
      <c r="E5" s="22" t="n">
        <v>1</v>
      </c>
      <c r="F5" s="18" t="inlineStr">
        <is>
          <t>Compliant</t>
        </is>
      </c>
      <c r="G5" s="16" t="inlineStr">
        <is>
          <t>5 MiB cap enforced both at controller (HTTP 413) and at FileHandlingService.storeUpload; importCredentials caps records at 50 000 lines.</t>
        </is>
      </c>
      <c r="H5" s="16" t="inlineStr">
        <is>
          <t>ImportExportController.java#importCredentials (HTTP 413 branch); FileHandlingServiceTest.storeUpload_shouldRejectOversizeFile</t>
        </is>
      </c>
    </row>
    <row r="6" ht="30" customHeight="1">
      <c r="A6" s="19" t="inlineStr">
        <is>
          <t>V5.2</t>
        </is>
      </c>
      <c r="B6" s="19" t="inlineStr">
        <is>
          <t>File Upload and Content</t>
        </is>
      </c>
      <c r="C6" s="20" t="inlineStr">
        <is>
          <t>V5.2.2</t>
        </is>
      </c>
      <c r="D6" s="21"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22" t="n">
        <v>1</v>
      </c>
      <c r="F6" s="18" t="inlineStr">
        <is>
          <t>Compliant</t>
        </is>
      </c>
      <c r="G6" t="inlineStr">
        <is>
          <t>Extensions are filtered against a conservative allowlist ([A-Za-z0-9]{1,8}, lowercased). Content validity is enforced downstream by decrypting and JSON-parsing each line; malformed lines are skipped (importForOwner).</t>
        </is>
      </c>
      <c r="H6" s="21" t="inlineStr">
        <is>
          <t>FileHandlingService.java#storeUpload; CredentialImportExportService.java#importForOwner</t>
        </is>
      </c>
    </row>
    <row r="7" ht="30" customHeight="1">
      <c r="A7" s="14" t="inlineStr">
        <is>
          <t>V5.2</t>
        </is>
      </c>
      <c r="B7" s="14" t="inlineStr">
        <is>
          <t>File Upload and Content</t>
        </is>
      </c>
      <c r="C7" s="15" t="inlineStr">
        <is>
          <t>V5.2.3</t>
        </is>
      </c>
      <c r="D7" s="16" t="inlineStr">
        <is>
          <t>Verify that the application checks compressed files (e.g., zip, gz, docx, odt) against maximum allowed uncompressed size and against maximum number of files before uncompressing the file.</t>
        </is>
      </c>
      <c r="E7" s="17" t="n">
        <v>2</v>
      </c>
      <c r="F7" s="18" t="inlineStr">
        <is>
          <t>Not Applicable</t>
        </is>
      </c>
      <c r="G7" t="inlineStr">
        <is>
          <t>Kryptos does not accept compressed archives. Only single-file .kvault uploads (newline-delimited encrypted records) are processed.</t>
        </is>
      </c>
      <c r="H7" s="16" t="n"/>
    </row>
    <row r="8" ht="30" customHeight="1">
      <c r="A8" s="19" t="inlineStr">
        <is>
          <t>V5.2</t>
        </is>
      </c>
      <c r="B8" s="19" t="inlineStr">
        <is>
          <t>File Upload and Content</t>
        </is>
      </c>
      <c r="C8" s="20" t="inlineStr">
        <is>
          <t>V5.2.4</t>
        </is>
      </c>
      <c r="D8" s="21" t="inlineStr">
        <is>
          <t>Verify that a file size quota and maximum number of files per user are enforced to ensure that a single user cannot fill up the storage with too many files, or excessively large files.</t>
        </is>
      </c>
      <c r="E8" s="23" t="n">
        <v>3</v>
      </c>
      <c r="F8" s="18" t="inlineStr">
        <is>
          <t>Not Applicable</t>
        </is>
      </c>
      <c r="G8" s="21" t="inlineStr">
        <is>
          <t>Files are not retained per user. Uploads are stored briefly in the per-process temp directory, parsed, and immediately securely wiped; exports are streamed once and then wiped. No persistent user file storage.</t>
        </is>
      </c>
      <c r="H8" s="21" t="n"/>
    </row>
    <row r="9" ht="30" customHeight="1">
      <c r="A9" s="14" t="inlineStr">
        <is>
          <t>V5.2</t>
        </is>
      </c>
      <c r="B9" s="14" t="inlineStr">
        <is>
          <t>File Upload and Content</t>
        </is>
      </c>
      <c r="C9" s="15" t="inlineStr">
        <is>
          <t>V5.2.5</t>
        </is>
      </c>
      <c r="D9" s="16" t="inlineStr">
        <is>
          <t>Verify that the application does not allow uploading compressed files containing symlinks unless this is specifically required (in which case it will be necessary to enforce an allowlist of the files that can be symlinked to).</t>
        </is>
      </c>
      <c r="E9" s="23" t="n">
        <v>3</v>
      </c>
      <c r="F9" s="18" t="inlineStr">
        <is>
          <t>Not Started</t>
        </is>
      </c>
      <c r="G9" t="inlineStr">
        <is>
          <t>This prevents Kryptos from being exposed to path traversal or unauthorized file access attacks that could occur if malicious symlinks inside uploaded archives are processed.</t>
        </is>
      </c>
      <c r="H9" s="16" t="n"/>
    </row>
    <row r="10" ht="30" customHeight="1">
      <c r="A10" s="19" t="inlineStr">
        <is>
          <t>V5.2</t>
        </is>
      </c>
      <c r="B10" s="19" t="inlineStr">
        <is>
          <t>File Upload and Content</t>
        </is>
      </c>
      <c r="C10" s="20" t="inlineStr">
        <is>
          <t>V5.2.6</t>
        </is>
      </c>
      <c r="D10" s="21" t="inlineStr">
        <is>
          <t>Verify that the application rejects uploaded images with a pixel size larger than the maximum allowed, to prevent pixel flood attacks.</t>
        </is>
      </c>
      <c r="E10" s="23" t="n">
        <v>3</v>
      </c>
      <c r="F10" s="18" t="inlineStr">
        <is>
          <t>Not Applicable</t>
        </is>
      </c>
      <c r="H10" s="21" t="n"/>
    </row>
    <row r="11" ht="18" customHeight="1">
      <c r="A11" s="13" t="inlineStr">
        <is>
          <t>V5.3</t>
        </is>
      </c>
      <c r="B11" s="13" t="inlineStr">
        <is>
          <t>File Storage</t>
        </is>
      </c>
      <c r="C11" s="13" t="n"/>
      <c r="D11" s="13" t="n"/>
      <c r="E11" s="13" t="n"/>
      <c r="F11" s="13" t="n"/>
      <c r="G11" s="13" t="n"/>
      <c r="H11" s="13" t="n"/>
    </row>
    <row r="12" ht="30" customHeight="1">
      <c r="A12" s="14" t="inlineStr">
        <is>
          <t>V5.3</t>
        </is>
      </c>
      <c r="B12" s="14" t="inlineStr">
        <is>
          <t>File Storage</t>
        </is>
      </c>
      <c r="C12" s="15" t="inlineStr">
        <is>
          <t>V5.3.1</t>
        </is>
      </c>
      <c r="D12" s="16" t="inlineStr">
        <is>
          <t>Verify that files uploaded or generated by untrusted input and stored in a public folder, are not executed as server-side program code when accessed directly with an HTTP request.</t>
        </is>
      </c>
      <c r="E12" s="22" t="n">
        <v>1</v>
      </c>
      <c r="F12" s="18" t="inlineStr">
        <is>
          <t>Compliant</t>
        </is>
      </c>
      <c r="G12" t="inlineStr">
        <is>
          <t>Files are written to an isolated temp directory (kryptos.storage.temp-dir, 0700) outside any web-served path. No static-file handler is registered on the temp dir, so uploads cannot be served as program code.</t>
        </is>
      </c>
      <c r="H12" s="16" t="inlineStr">
        <is>
          <t>FileHandlingService.java#initTempDir; application.properties#kryptos.storage.temp-dir</t>
        </is>
      </c>
    </row>
    <row r="13" ht="30" customHeight="1">
      <c r="A13" s="19" t="inlineStr">
        <is>
          <t>V5.3</t>
        </is>
      </c>
      <c r="B13" s="19" t="inlineStr">
        <is>
          <t>File Storage</t>
        </is>
      </c>
      <c r="C13" s="20" t="inlineStr">
        <is>
          <t>V5.3.2</t>
        </is>
      </c>
      <c r="D13" s="21"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22" t="n">
        <v>1</v>
      </c>
      <c r="F13" s="18" t="inlineStr">
        <is>
          <t>Compliant</t>
        </is>
      </c>
      <c r="G13" t="inlineStr">
        <is>
          <t>User filenames are never used as paths. Uploads are stored as import-&lt;UUID&gt;&lt;sanitised-extension&gt;; exports as export-&lt;UUID&gt;.kvault. Path-traversal protection via verifyWithinTempDir.</t>
        </is>
      </c>
      <c r="H13" s="21" t="inlineStr">
        <is>
          <t>FileHandlingService.java; FileHandlingServiceTest.storeUpload_sanitisesFilename</t>
        </is>
      </c>
    </row>
    <row r="14" ht="30" customHeight="1">
      <c r="A14" s="14" t="inlineStr">
        <is>
          <t>V5.3</t>
        </is>
      </c>
      <c r="B14" s="14" t="inlineStr">
        <is>
          <t>File Storage</t>
        </is>
      </c>
      <c r="C14" s="15" t="inlineStr">
        <is>
          <t>V5.3.3</t>
        </is>
      </c>
      <c r="D14" s="16" t="inlineStr">
        <is>
          <t>Verify that server-side file processing, such as file decompression, ignores user-provided path information to prevent vulnerabilities such as zip slip.</t>
        </is>
      </c>
      <c r="E14" s="23" t="n">
        <v>3</v>
      </c>
      <c r="F14" s="18" t="inlineStr">
        <is>
          <t>Not Started</t>
        </is>
      </c>
      <c r="G14" t="inlineStr">
        <is>
          <t>Ignoring user-supplied paths during file processing in Kryptos prevents zip slip attacks that could overwrite or access unintended files on the server.</t>
        </is>
      </c>
      <c r="H14" s="16" t="n"/>
    </row>
    <row r="15" ht="18" customHeight="1">
      <c r="A15" s="13" t="inlineStr">
        <is>
          <t>V5.4</t>
        </is>
      </c>
      <c r="B15" s="13" t="inlineStr">
        <is>
          <t>File Download</t>
        </is>
      </c>
      <c r="C15" s="13" t="n"/>
      <c r="D15" s="13" t="n"/>
      <c r="E15" s="13" t="n"/>
      <c r="F15" s="13" t="n"/>
      <c r="G15" s="13" t="n"/>
      <c r="H15" s="13" t="n"/>
    </row>
    <row r="16" ht="30" customHeight="1">
      <c r="A16" s="14" t="inlineStr">
        <is>
          <t>V5.4</t>
        </is>
      </c>
      <c r="B16" s="14" t="inlineStr">
        <is>
          <t>File Download</t>
        </is>
      </c>
      <c r="C16" s="15" t="inlineStr">
        <is>
          <t>V5.4.1</t>
        </is>
      </c>
      <c r="D16" s="16" t="inlineStr">
        <is>
          <t>Verify that the application validates or ignores user-submitted filenames, including in a JSON, JSONP, or URL parameter and specifies a filename in the Content-Disposition header field in the response.</t>
        </is>
      </c>
      <c r="E16" s="17" t="n">
        <v>2</v>
      </c>
      <c r="F16" s="18" t="inlineStr">
        <is>
          <t>Compliant</t>
        </is>
      </c>
      <c r="G16" t="inlineStr">
        <is>
          <t>Export response sets Content-Disposition: attachment; filename="kryptos-export.kvault" — a fixed server-controlled name. No user-submitted filename is echoed in headers.</t>
        </is>
      </c>
      <c r="H16" s="16" t="inlineStr">
        <is>
          <t>ImportExportController.java#exportCredentials</t>
        </is>
      </c>
    </row>
    <row r="17" ht="30" customHeight="1">
      <c r="A17" s="19" t="inlineStr">
        <is>
          <t>V5.4</t>
        </is>
      </c>
      <c r="B17" s="19" t="inlineStr">
        <is>
          <t>File Download</t>
        </is>
      </c>
      <c r="C17" s="20" t="inlineStr">
        <is>
          <t>V5.4.2</t>
        </is>
      </c>
      <c r="D17" s="21" t="inlineStr">
        <is>
          <t>Verify that file names served (e.g., in HTTP response header fields or email attachments) are encoded or sanitized (e.g., following RFC 6266) to preserve document structure and prevent injection attacks.</t>
        </is>
      </c>
      <c r="E17" s="17" t="n">
        <v>2</v>
      </c>
      <c r="F17" s="18" t="inlineStr">
        <is>
          <t>Compliant</t>
        </is>
      </c>
      <c r="G17" t="inlineStr">
        <is>
          <t>The Content-Disposition filename is hardcoded and ASCII-only; X-Content-Type-Options: nosniff is also set on the response.</t>
        </is>
      </c>
      <c r="H17" s="21" t="inlineStr">
        <is>
          <t>ImportExportController.java#exportCredentials</t>
        </is>
      </c>
    </row>
    <row r="18" ht="30" customHeight="1">
      <c r="A18" s="14" t="inlineStr">
        <is>
          <t>V5.4</t>
        </is>
      </c>
      <c r="B18" s="14" t="inlineStr">
        <is>
          <t>File Download</t>
        </is>
      </c>
      <c r="C18" s="15" t="inlineStr">
        <is>
          <t>V5.4.3</t>
        </is>
      </c>
      <c r="D18" s="16" t="inlineStr">
        <is>
          <t>Verify that files obtained from untrusted sources are scanned by antivirus scanners to prevent serving of known malicious content.</t>
        </is>
      </c>
      <c r="E18" s="17" t="n">
        <v>2</v>
      </c>
      <c r="F18" s="18" t="inlineStr">
        <is>
          <t>Not Started</t>
        </is>
      </c>
      <c r="G18" t="inlineStr">
        <is>
          <t>Scanning files from untrusted sources ensures Kryptos does not store or distribute known malware during credential import/export operations.</t>
        </is>
      </c>
      <c r="H18" s="16"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7.xml><?xml version="1.0" encoding="utf-8"?>
<worksheet xmlns="http://schemas.openxmlformats.org/spreadsheetml/2006/main">
  <sheetPr>
    <outlinePr summaryBelow="1" summaryRight="1"/>
    <pageSetUpPr/>
  </sheetPr>
  <dimension ref="A1:H56"/>
  <sheetViews>
    <sheetView zoomScale="75" zoomScaleNormal="75" workbookViewId="0">
      <pane ySplit="1" topLeftCell="A36" activePane="bottomLeft" state="frozen"/>
      <selection pane="bottomLeft" activeCell="F56" sqref="F56"/>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V6.1</t>
        </is>
      </c>
      <c r="B2" s="13" t="inlineStr">
        <is>
          <t>Authentication Documentation</t>
        </is>
      </c>
      <c r="C2" s="13" t="n"/>
      <c r="D2" s="13" t="n"/>
      <c r="E2" s="13" t="n"/>
      <c r="F2" s="13" t="n"/>
      <c r="G2" s="13" t="n"/>
      <c r="H2" s="13" t="n"/>
    </row>
    <row r="3" ht="30" customHeight="1">
      <c r="A3" s="14" t="inlineStr">
        <is>
          <t>V6.1</t>
        </is>
      </c>
      <c r="B3" s="14" t="inlineStr">
        <is>
          <t>Authentication Documentation</t>
        </is>
      </c>
      <c r="C3" s="15" t="inlineStr">
        <is>
          <t>V6.1.1</t>
        </is>
      </c>
      <c r="D3" s="16"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22" t="n">
        <v>1</v>
      </c>
      <c r="F3" s="18" t="inlineStr">
        <is>
          <t>Not Started</t>
        </is>
      </c>
      <c r="G3" t="inlineStr">
        <is>
          <t>Define and apply protections like rate limiting and anti-automation to stop brute force and credential stuffing attacks without enabling denial of service through account lockout.</t>
        </is>
      </c>
      <c r="H3" s="16" t="n"/>
    </row>
    <row r="4" ht="30" customHeight="1">
      <c r="A4" s="19" t="inlineStr">
        <is>
          <t>V6.1</t>
        </is>
      </c>
      <c r="B4" s="19" t="inlineStr">
        <is>
          <t>Authentication Documentation</t>
        </is>
      </c>
      <c r="C4" s="20" t="inlineStr">
        <is>
          <t>V6.1.2</t>
        </is>
      </c>
      <c r="D4" s="21" t="inlineStr">
        <is>
          <t>Verify that a list of context-specific words is documented in order to prevent their use in passwords. The list could include permutations of organization names, product names, system identifiers, project codenames, department or role names, and similar.</t>
        </is>
      </c>
      <c r="E4" s="17" t="n">
        <v>2</v>
      </c>
      <c r="F4" s="18" t="inlineStr">
        <is>
          <t>Not Started</t>
        </is>
      </c>
      <c r="G4" t="inlineStr">
        <is>
          <t>Defines restricted, context-specific terms in Kryptos so users cannot choose predictable passwords related to the organization, reducing the risk of guessing attacks.</t>
        </is>
      </c>
      <c r="H4" s="21" t="n"/>
    </row>
    <row r="5" ht="30" customHeight="1">
      <c r="A5" s="14" t="inlineStr">
        <is>
          <t>V6.1</t>
        </is>
      </c>
      <c r="B5" s="14" t="inlineStr">
        <is>
          <t>Authentication Documentation</t>
        </is>
      </c>
      <c r="C5" s="15" t="inlineStr">
        <is>
          <t>V6.1.3</t>
        </is>
      </c>
      <c r="D5" s="16" t="inlineStr">
        <is>
          <t>Verify that, if the application includes multiple authentication pathways, these are all documented together with the security controls and authentication strength which must be consistently enforced across them.</t>
        </is>
      </c>
      <c r="E5" s="17" t="n">
        <v>2</v>
      </c>
      <c r="F5" s="18" t="inlineStr">
        <is>
          <t>Not Started</t>
        </is>
      </c>
      <c r="G5" t="inlineStr">
        <is>
          <t>Documents all authentication methods in Kryptos with consistent security controls and strength, preventing weaker pathways from undermining overall authentication security.</t>
        </is>
      </c>
      <c r="H5" s="16" t="n"/>
    </row>
    <row r="6" ht="18" customHeight="1">
      <c r="A6" s="13" t="inlineStr">
        <is>
          <t>V6.2</t>
        </is>
      </c>
      <c r="B6" s="13" t="inlineStr">
        <is>
          <t>Password Security</t>
        </is>
      </c>
      <c r="C6" s="13" t="n"/>
      <c r="D6" s="13" t="n"/>
      <c r="E6" s="13" t="n"/>
      <c r="F6" s="13" t="n"/>
      <c r="G6" s="13" t="n"/>
      <c r="H6" s="13" t="n"/>
    </row>
    <row r="7" ht="30" customHeight="1">
      <c r="A7" s="14" t="inlineStr">
        <is>
          <t>V6.2</t>
        </is>
      </c>
      <c r="B7" s="14" t="inlineStr">
        <is>
          <t>Password Security</t>
        </is>
      </c>
      <c r="C7" s="15" t="inlineStr">
        <is>
          <t>V6.2.1</t>
        </is>
      </c>
      <c r="D7" s="16" t="inlineStr">
        <is>
          <t>Verify that user set passwords are at least 8 characters in length although a minimum of 15 characters is strongly recommended.</t>
        </is>
      </c>
      <c r="E7" s="22" t="n">
        <v>1</v>
      </c>
      <c r="F7" s="18" t="inlineStr">
        <is>
          <t>Compliant</t>
        </is>
      </c>
      <c r="G7" t="inlineStr">
        <is>
          <t>RegisterRequest enforces @Size(min=12) on the password, exceeding the L1 minimum of 8 characters.</t>
        </is>
      </c>
      <c r="H7" s="16" t="inlineStr">
        <is>
          <t>backend/src/main/java/com/kryptos/auth/application/dto/RegisterRequest.java</t>
        </is>
      </c>
    </row>
    <row r="8" ht="30" customHeight="1">
      <c r="A8" s="19" t="inlineStr">
        <is>
          <t>V6.2</t>
        </is>
      </c>
      <c r="B8" s="19" t="inlineStr">
        <is>
          <t>Password Security</t>
        </is>
      </c>
      <c r="C8" s="20" t="inlineStr">
        <is>
          <t>V6.2.2</t>
        </is>
      </c>
      <c r="D8" s="21" t="inlineStr">
        <is>
          <t>Verify that users can change their password.</t>
        </is>
      </c>
      <c r="E8" s="22" t="n">
        <v>1</v>
      </c>
      <c r="F8" s="18" t="inlineStr">
        <is>
          <t>Not Started</t>
        </is>
      </c>
      <c r="G8" t="inlineStr">
        <is>
          <t>Allows Kryptos users to update their passwords, enabling recovery from potential compromise and maintaining account security.</t>
        </is>
      </c>
      <c r="H8" s="21" t="n"/>
    </row>
    <row r="9" ht="30" customHeight="1">
      <c r="A9" s="14" t="inlineStr">
        <is>
          <t>V6.2</t>
        </is>
      </c>
      <c r="B9" s="14" t="inlineStr">
        <is>
          <t>Password Security</t>
        </is>
      </c>
      <c r="C9" s="15" t="inlineStr">
        <is>
          <t>V6.2.3</t>
        </is>
      </c>
      <c r="D9" s="16" t="inlineStr">
        <is>
          <t>Verify that password change functionality requires the user's current and new password.</t>
        </is>
      </c>
      <c r="E9" s="22" t="n">
        <v>1</v>
      </c>
      <c r="F9" s="18" t="inlineStr">
        <is>
          <t>Not Started</t>
        </is>
      </c>
      <c r="G9" t="inlineStr">
        <is>
          <t>Requires Kryptos users to provide their current password when setting a new one, preventing unauthorized changes from compromised sessions.</t>
        </is>
      </c>
      <c r="H9" s="16" t="n"/>
    </row>
    <row r="10" ht="30" customHeight="1">
      <c r="A10" s="19" t="inlineStr">
        <is>
          <t>V6.2</t>
        </is>
      </c>
      <c r="B10" s="19" t="inlineStr">
        <is>
          <t>Password Security</t>
        </is>
      </c>
      <c r="C10" s="20" t="inlineStr">
        <is>
          <t>V6.2.4</t>
        </is>
      </c>
      <c r="D10" s="21" t="inlineStr">
        <is>
          <t>Verify that passwords submitted during account registration or password change are checked against an available set of, at least, the top 3000 passwords which match the application's password policy, e.g. minimum length.</t>
        </is>
      </c>
      <c r="E10" s="22" t="n">
        <v>1</v>
      </c>
      <c r="F10" s="18" t="inlineStr">
        <is>
          <t>Not Applicable</t>
        </is>
      </c>
      <c r="G10" s="21" t="n"/>
      <c r="H10" s="21" t="n"/>
    </row>
    <row r="11" ht="30" customHeight="1">
      <c r="A11" s="14" t="inlineStr">
        <is>
          <t>V6.2</t>
        </is>
      </c>
      <c r="B11" s="14" t="inlineStr">
        <is>
          <t>Password Security</t>
        </is>
      </c>
      <c r="C11" s="15" t="inlineStr">
        <is>
          <t>V6.2.5</t>
        </is>
      </c>
      <c r="D11" s="16" t="inlineStr">
        <is>
          <t>Verify that passwords of any composition can be used, without rules limiting the type of characters permitted. There must be no requirement for a minimum number of upper or lower case characters, numbers, or special characters.</t>
        </is>
      </c>
      <c r="E11" s="22" t="n">
        <v>1</v>
      </c>
      <c r="F11" s="18" t="inlineStr">
        <is>
          <t>Compliant</t>
        </is>
      </c>
      <c r="G11" t="inlineStr">
        <is>
          <t>No character composition rules on passwords; only @Size(min=12). Any combination of characters is accepted.</t>
        </is>
      </c>
      <c r="H11" s="16" t="inlineStr">
        <is>
          <t>RegisterRequest.java</t>
        </is>
      </c>
    </row>
    <row r="12" ht="30" customHeight="1">
      <c r="A12" s="19" t="inlineStr">
        <is>
          <t>V6.2</t>
        </is>
      </c>
      <c r="B12" s="19" t="inlineStr">
        <is>
          <t>Password Security</t>
        </is>
      </c>
      <c r="C12" s="20" t="inlineStr">
        <is>
          <t>V6.2.6</t>
        </is>
      </c>
      <c r="D12" s="21" t="inlineStr">
        <is>
          <t>Verify that password input fields use type=password to mask the entry. Applications may allow the user to temporarily view the entire masked password, or the last typed character of the password.</t>
        </is>
      </c>
      <c r="E12" s="22" t="n">
        <v>1</v>
      </c>
      <c r="F12" s="18" t="inlineStr">
        <is>
          <t>Not Applicable</t>
        </is>
      </c>
      <c r="G12" t="inlineStr">
        <is>
          <t>Backend-only project; password masking (type=password) is a frontend concern and out of scope.</t>
        </is>
      </c>
      <c r="H12" s="21" t="n"/>
    </row>
    <row r="13" ht="30" customHeight="1">
      <c r="A13" s="14" t="inlineStr">
        <is>
          <t>V6.2</t>
        </is>
      </c>
      <c r="B13" s="14" t="inlineStr">
        <is>
          <t>Password Security</t>
        </is>
      </c>
      <c r="C13" s="15" t="inlineStr">
        <is>
          <t>V6.2.7</t>
        </is>
      </c>
      <c r="D13" s="16" t="inlineStr">
        <is>
          <t>Verify that "paste" functionality, browser password helpers, and external password managers are permitted.</t>
        </is>
      </c>
      <c r="E13" s="22" t="n">
        <v>1</v>
      </c>
      <c r="F13" s="18" t="inlineStr">
        <is>
          <t>Not Applicable</t>
        </is>
      </c>
      <c r="G13" t="inlineStr">
        <is>
          <t>Backend-only project; paste / password-manager support is a frontend concern.</t>
        </is>
      </c>
      <c r="H13" s="16" t="n"/>
    </row>
    <row r="14" ht="30" customHeight="1">
      <c r="A14" s="19" t="inlineStr">
        <is>
          <t>V6.2</t>
        </is>
      </c>
      <c r="B14" s="19" t="inlineStr">
        <is>
          <t>Password Security</t>
        </is>
      </c>
      <c r="C14" s="20" t="inlineStr">
        <is>
          <t>V6.2.8</t>
        </is>
      </c>
      <c r="D14" s="21" t="inlineStr">
        <is>
          <t>Verify that the application verifies the user's password exactly as received from the user, without any modifications such as truncation or case transformation.</t>
        </is>
      </c>
      <c r="E14" s="22" t="n">
        <v>1</v>
      </c>
      <c r="F14" s="18" t="inlineStr">
        <is>
          <t>Compliant</t>
        </is>
      </c>
      <c r="G14" t="inlineStr">
        <is>
          <t>Passwords are hashed exactly as received (Argon2PasswordEncoder operates on raw UTF-8 bytes); no truncation or case transformation is performed.</t>
        </is>
      </c>
      <c r="H14" s="21" t="inlineStr">
        <is>
          <t>SecurityConfig.passwordEncoder(); AuthService.register/login</t>
        </is>
      </c>
    </row>
    <row r="15" ht="30" customHeight="1">
      <c r="A15" s="14" t="inlineStr">
        <is>
          <t>V6.2</t>
        </is>
      </c>
      <c r="B15" s="14" t="inlineStr">
        <is>
          <t>Password Security</t>
        </is>
      </c>
      <c r="C15" s="15" t="inlineStr">
        <is>
          <t>V6.2.9</t>
        </is>
      </c>
      <c r="D15" s="16" t="inlineStr">
        <is>
          <t>Verify that passwords of at least 64 characters are permitted.</t>
        </is>
      </c>
      <c r="E15" s="17" t="n">
        <v>2</v>
      </c>
      <c r="F15" s="18" t="inlineStr">
        <is>
          <t>Compliant</t>
        </is>
      </c>
      <c r="G15" t="inlineStr">
        <is>
          <t>RegisterRequest only enforces @Size(min=12); there is no upper bound, so 64+ character passwords are accepted.</t>
        </is>
      </c>
      <c r="H15" s="16" t="inlineStr">
        <is>
          <t>RegisterRequest.java</t>
        </is>
      </c>
    </row>
    <row r="16" ht="30" customHeight="1">
      <c r="A16" s="19" t="inlineStr">
        <is>
          <t>V6.2</t>
        </is>
      </c>
      <c r="B16" s="19" t="inlineStr">
        <is>
          <t>Password Security</t>
        </is>
      </c>
      <c r="C16" s="20" t="inlineStr">
        <is>
          <t>V6.2.10</t>
        </is>
      </c>
      <c r="D16" s="21" t="inlineStr">
        <is>
          <t>Verify that a user's password stays valid until it is discovered to be compromised or the user rotates it. The application must not require periodic credential rotation.</t>
        </is>
      </c>
      <c r="E16" s="17" t="n">
        <v>2</v>
      </c>
      <c r="F16" s="18" t="inlineStr">
        <is>
          <t>Compliant</t>
        </is>
      </c>
      <c r="G16" t="inlineStr">
        <is>
          <t>No periodic-rotation policy is enforced; passwords remain valid indefinitely until the user changes them or they are flagged as compromised.</t>
        </is>
      </c>
      <c r="H16" s="21" t="inlineStr">
        <is>
          <t>UserService.java (no rotation logic)</t>
        </is>
      </c>
    </row>
    <row r="17" ht="30" customHeight="1">
      <c r="A17" s="14" t="inlineStr">
        <is>
          <t>V6.2</t>
        </is>
      </c>
      <c r="B17" s="14" t="inlineStr">
        <is>
          <t>Password Security</t>
        </is>
      </c>
      <c r="C17" s="15" t="inlineStr">
        <is>
          <t>V6.2.11</t>
        </is>
      </c>
      <c r="D17" s="16" t="inlineStr">
        <is>
          <t>Verify that the documented list of context specific words is used to prevent easy to guess passwords being created.</t>
        </is>
      </c>
      <c r="E17" s="17" t="n">
        <v>2</v>
      </c>
      <c r="F17" s="18" t="inlineStr">
        <is>
          <t>Not Started</t>
        </is>
      </c>
      <c r="G17" t="inlineStr">
        <is>
          <t>Applies Kryptos’s list of context-specific terms during password creation to block predictable and easily guessable passwords.</t>
        </is>
      </c>
      <c r="H17" s="16" t="n"/>
    </row>
    <row r="18" ht="30" customHeight="1">
      <c r="A18" s="19" t="inlineStr">
        <is>
          <t>V6.2</t>
        </is>
      </c>
      <c r="B18" s="19" t="inlineStr">
        <is>
          <t>Password Security</t>
        </is>
      </c>
      <c r="C18" s="20" t="inlineStr">
        <is>
          <t>V6.2.12</t>
        </is>
      </c>
      <c r="D18" s="21" t="inlineStr">
        <is>
          <t>Verify that passwords submitted during account registration or password changes are checked against a set of breached passwords.</t>
        </is>
      </c>
      <c r="E18" s="17" t="n">
        <v>2</v>
      </c>
      <c r="F18" s="18" t="inlineStr">
        <is>
          <t>Not Applicable</t>
        </is>
      </c>
      <c r="G18" s="21" t="n"/>
      <c r="H18" s="21" t="n"/>
    </row>
    <row r="19" ht="18" customHeight="1">
      <c r="A19" s="13" t="inlineStr">
        <is>
          <t>V6.3</t>
        </is>
      </c>
      <c r="B19" s="13" t="inlineStr">
        <is>
          <t>General Authentication Security</t>
        </is>
      </c>
      <c r="C19" s="13" t="n"/>
      <c r="D19" s="13" t="n"/>
      <c r="E19" s="13" t="n"/>
      <c r="F19" s="13" t="n"/>
      <c r="G19" s="13" t="n"/>
      <c r="H19" s="13" t="n"/>
    </row>
    <row r="20" ht="30" customHeight="1">
      <c r="A20" s="14" t="inlineStr">
        <is>
          <t>V6.3</t>
        </is>
      </c>
      <c r="B20" s="14" t="inlineStr">
        <is>
          <t>General Authentication Security</t>
        </is>
      </c>
      <c r="C20" s="15" t="inlineStr">
        <is>
          <t>V6.3.1</t>
        </is>
      </c>
      <c r="D20" s="16" t="inlineStr">
        <is>
          <t>Verify that controls to prevent attacks such as credential stuffing and password brute force are implemented according to the application's security documentation.</t>
        </is>
      </c>
      <c r="E20" s="22" t="n">
        <v>1</v>
      </c>
      <c r="F20" s="18" t="inlineStr">
        <is>
          <t>Compliant</t>
        </is>
      </c>
      <c r="G20" t="inlineStr">
        <is>
          <t>AuthService.login enforces 5 failed attempts/min/principal with a 15 min lockout (AuditAction.LOGIN_FAILED emitted on every failure and on lockout).</t>
        </is>
      </c>
      <c r="H20" s="16" t="inlineStr">
        <is>
          <t>AuthService.java; AuthServiceTest.login_shouldLockAccount_afterMaxFailedAttempts</t>
        </is>
      </c>
    </row>
    <row r="21" ht="30" customHeight="1">
      <c r="A21" s="19" t="inlineStr">
        <is>
          <t>V6.3</t>
        </is>
      </c>
      <c r="B21" s="19" t="inlineStr">
        <is>
          <t>General Authentication Security</t>
        </is>
      </c>
      <c r="C21" s="20" t="inlineStr">
        <is>
          <t>V6.3.2</t>
        </is>
      </c>
      <c r="D21" s="21" t="inlineStr">
        <is>
          <t>Verify that default user accounts (e.g., "root", "admin", or "sa") are not present in the application or are disabled.</t>
        </is>
      </c>
      <c r="E21" s="22" t="n">
        <v>1</v>
      </c>
      <c r="F21" s="18" t="inlineStr">
        <is>
          <t>Compliant</t>
        </is>
      </c>
      <c r="G21" t="inlineStr">
        <is>
          <t>No bootstrap admin / seed accounts. The first user registered through /api/auth/register is created with Role.USER; ADMIN role can only be granted by an existing ADMIN.</t>
        </is>
      </c>
      <c r="H21" s="21" t="inlineStr">
        <is>
          <t>AuthService.register; UserService.updateUserRole</t>
        </is>
      </c>
    </row>
    <row r="22" ht="30" customHeight="1">
      <c r="A22" s="14" t="inlineStr">
        <is>
          <t>V6.3</t>
        </is>
      </c>
      <c r="B22" s="14" t="inlineStr">
        <is>
          <t>General Authentication Security</t>
        </is>
      </c>
      <c r="C22" s="15" t="inlineStr">
        <is>
          <t>V6.3.3</t>
        </is>
      </c>
      <c r="D22" s="16"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17" t="n">
        <v>2</v>
      </c>
      <c r="F22" s="18" t="inlineStr">
        <is>
          <t>Not Started</t>
        </is>
      </c>
      <c r="G22" t="inlineStr">
        <is>
          <t>Requires Kryptos to use strong multi-factor authentication to reduce the risk of account compromise and phishing-based attacks.</t>
        </is>
      </c>
      <c r="H22" s="16" t="n"/>
    </row>
    <row r="23" ht="30" customHeight="1">
      <c r="A23" s="19" t="inlineStr">
        <is>
          <t>V6.3</t>
        </is>
      </c>
      <c r="B23" s="19" t="inlineStr">
        <is>
          <t>General Authentication Security</t>
        </is>
      </c>
      <c r="C23" s="20" t="inlineStr">
        <is>
          <t>V6.3.4</t>
        </is>
      </c>
      <c r="D23" s="21" t="inlineStr">
        <is>
          <t>Verify that, if the application includes multiple authentication pathways, there are no undocumented pathways and that security controls and authentication strength are enforced consistently.</t>
        </is>
      </c>
      <c r="E23" s="17" t="n">
        <v>2</v>
      </c>
      <c r="F23" s="18" t="inlineStr">
        <is>
          <t>Not Started</t>
        </is>
      </c>
      <c r="G23" t="inlineStr">
        <is>
          <t>Prevents  having hidden or weaker authentication paths by ensuring all methods are documented and enforce consistent security controls.</t>
        </is>
      </c>
      <c r="H23" s="21" t="n"/>
    </row>
    <row r="24" ht="30" customHeight="1">
      <c r="A24" s="14" t="inlineStr">
        <is>
          <t>V6.3</t>
        </is>
      </c>
      <c r="B24" s="14" t="inlineStr">
        <is>
          <t>General Authentication Security</t>
        </is>
      </c>
      <c r="C24" s="15" t="inlineStr">
        <is>
          <t>V6.3.5</t>
        </is>
      </c>
      <c r="D24" s="16"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23" t="n">
        <v>3</v>
      </c>
      <c r="F24" s="18" t="inlineStr">
        <is>
          <t>Not Started</t>
        </is>
      </c>
      <c r="G24" t="inlineStr">
        <is>
          <t>Notifies  users of suspicious login activity so they can detect and respond quickly to potential unauthorized access.</t>
        </is>
      </c>
      <c r="H24" s="16" t="n"/>
    </row>
    <row r="25" ht="30" customHeight="1">
      <c r="A25" s="19" t="inlineStr">
        <is>
          <t>V6.3</t>
        </is>
      </c>
      <c r="B25" s="19" t="inlineStr">
        <is>
          <t>General Authentication Security</t>
        </is>
      </c>
      <c r="C25" s="20" t="inlineStr">
        <is>
          <t>V6.3.6</t>
        </is>
      </c>
      <c r="D25" s="21" t="inlineStr">
        <is>
          <t>Verify that email is not used as either a single-factor or multi-factor authentication mechanism.</t>
        </is>
      </c>
      <c r="E25" s="23" t="n">
        <v>3</v>
      </c>
      <c r="F25" s="18" t="inlineStr">
        <is>
          <t>Not Applicable</t>
        </is>
      </c>
      <c r="G25" s="21" t="n"/>
      <c r="H25" s="21" t="n"/>
    </row>
    <row r="26" ht="30" customHeight="1">
      <c r="A26" s="14" t="inlineStr">
        <is>
          <t>V6.3</t>
        </is>
      </c>
      <c r="B26" s="14" t="inlineStr">
        <is>
          <t>General Authentication Security</t>
        </is>
      </c>
      <c r="C26" s="15" t="inlineStr">
        <is>
          <t>V6.3.7</t>
        </is>
      </c>
      <c r="D26" s="16" t="inlineStr">
        <is>
          <t>Verify that users are notified after updates to authentication details, such as credential resets or modification of the username or email address.</t>
        </is>
      </c>
      <c r="E26" s="23" t="n">
        <v>3</v>
      </c>
      <c r="F26" s="18" t="inlineStr">
        <is>
          <t>Not Started</t>
        </is>
      </c>
      <c r="G26" t="inlineStr">
        <is>
          <t>Alerts users when authentication details are changed, helping them detect and respond to unauthorized account modifications.</t>
        </is>
      </c>
      <c r="H26" s="16" t="n"/>
    </row>
    <row r="27" ht="30" customHeight="1">
      <c r="A27" s="19" t="inlineStr">
        <is>
          <t>V6.3</t>
        </is>
      </c>
      <c r="B27" s="19" t="inlineStr">
        <is>
          <t>General Authentication Security</t>
        </is>
      </c>
      <c r="C27" s="20" t="inlineStr">
        <is>
          <t>V6.3.8</t>
        </is>
      </c>
      <c r="D27" s="21" t="inlineStr">
        <is>
          <t>Verify that valid users cannot be deduced from failed authentication challenges, such as by basing on error messages, HTTP response codes, or different response times. Registration and forgot password functionality must also have this protection.</t>
        </is>
      </c>
      <c r="E27" s="23" t="n">
        <v>3</v>
      </c>
      <c r="F27" s="18" t="inlineStr">
        <is>
          <t>Not Started</t>
        </is>
      </c>
      <c r="G27" t="inlineStr">
        <is>
          <t>Prevents Kryptos from revealing whether a username exists by ensuring authentication, registration, and recovery responses are uniform, reducing the risk of user enumeration attacks.</t>
        </is>
      </c>
      <c r="H27" s="21" t="n"/>
    </row>
    <row r="28" ht="18" customHeight="1">
      <c r="A28" s="13" t="inlineStr">
        <is>
          <t>V6.4</t>
        </is>
      </c>
      <c r="B28" s="13" t="inlineStr">
        <is>
          <t>Authentication Factor Lifecycle and Recovery</t>
        </is>
      </c>
      <c r="C28" s="13" t="n"/>
      <c r="D28" s="13" t="n"/>
      <c r="E28" s="13" t="n"/>
      <c r="F28" s="13" t="n"/>
      <c r="G28" s="13" t="n"/>
      <c r="H28" s="13" t="n"/>
    </row>
    <row r="29" ht="30" customHeight="1">
      <c r="A29" s="14" t="inlineStr">
        <is>
          <t>V6.4</t>
        </is>
      </c>
      <c r="B29" s="14" t="inlineStr">
        <is>
          <t>Authentication Factor Lifecycle and Recovery</t>
        </is>
      </c>
      <c r="C29" s="15" t="inlineStr">
        <is>
          <t>V6.4.1</t>
        </is>
      </c>
      <c r="D29" s="16"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22" t="n">
        <v>1</v>
      </c>
      <c r="F29" s="18" t="inlineStr">
        <is>
          <t>Not Started</t>
        </is>
      </c>
      <c r="G29" s="16"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H29" s="16" t="n"/>
    </row>
    <row r="30" ht="30" customHeight="1">
      <c r="A30" s="19" t="inlineStr">
        <is>
          <t>V6.4</t>
        </is>
      </c>
      <c r="B30" s="19" t="inlineStr">
        <is>
          <t>Authentication Factor Lifecycle and Recovery</t>
        </is>
      </c>
      <c r="C30" s="20" t="inlineStr">
        <is>
          <t>V6.4.2</t>
        </is>
      </c>
      <c r="D30" s="21" t="inlineStr">
        <is>
          <t>Verify that password hints or knowledge-based authentication (so-called "secret questions") are not present.</t>
        </is>
      </c>
      <c r="E30" s="22" t="n">
        <v>1</v>
      </c>
      <c r="F30" s="18" t="inlineStr">
        <is>
          <t>Not Started</t>
        </is>
      </c>
      <c r="G30" t="inlineStr">
        <is>
          <t>Eliminates weak recovery mechanisms, preventing attackers from exploiting easily guessable password hints or security questions.</t>
        </is>
      </c>
      <c r="H30" s="21" t="n"/>
    </row>
    <row r="31" ht="30" customHeight="1">
      <c r="A31" s="14" t="inlineStr">
        <is>
          <t>V6.4</t>
        </is>
      </c>
      <c r="B31" s="14" t="inlineStr">
        <is>
          <t>Authentication Factor Lifecycle and Recovery</t>
        </is>
      </c>
      <c r="C31" s="15" t="inlineStr">
        <is>
          <t>V6.4.3</t>
        </is>
      </c>
      <c r="D31" s="16" t="inlineStr">
        <is>
          <t>Verify that a secure process for resetting a forgotten password is implemented, that does not bypass any enabled multi-factor authentication mechanisms.</t>
        </is>
      </c>
      <c r="E31" s="17" t="n">
        <v>2</v>
      </c>
      <c r="F31" s="18" t="inlineStr">
        <is>
          <t>Not Started</t>
        </is>
      </c>
      <c r="G31" t="inlineStr">
        <is>
          <t>Requires Kryptos to implement a secure password reset process that preserves MFA protections, preventing attackers from bypassing additional authentication factors.</t>
        </is>
      </c>
      <c r="H31" s="16" t="n"/>
    </row>
    <row r="32" ht="30" customHeight="1">
      <c r="A32" s="19" t="inlineStr">
        <is>
          <t>V6.4</t>
        </is>
      </c>
      <c r="B32" s="19" t="inlineStr">
        <is>
          <t>Authentication Factor Lifecycle and Recovery</t>
        </is>
      </c>
      <c r="C32" s="20" t="inlineStr">
        <is>
          <t>V6.4.4</t>
        </is>
      </c>
      <c r="D32" s="21" t="inlineStr">
        <is>
          <t>Verify that if a multi-factor authentication factor is lost, evidence of identity proofing is performed at the same level as during enrollment.</t>
        </is>
      </c>
      <c r="E32" s="17" t="n">
        <v>2</v>
      </c>
      <c r="F32" s="18" t="inlineStr">
        <is>
          <t>Not Applicable</t>
        </is>
      </c>
      <c r="G32" s="21" t="n"/>
      <c r="H32" s="21" t="n"/>
    </row>
    <row r="33" ht="30" customHeight="1">
      <c r="A33" s="14" t="inlineStr">
        <is>
          <t>V6.4</t>
        </is>
      </c>
      <c r="B33" s="14" t="inlineStr">
        <is>
          <t>Authentication Factor Lifecycle and Recovery</t>
        </is>
      </c>
      <c r="C33" s="15" t="inlineStr">
        <is>
          <t>V6.4.5</t>
        </is>
      </c>
      <c r="D33" s="16" t="inlineStr">
        <is>
          <t>Verify that renewal instructions for authentication mechanisms which expire are sent with enough time to be carried out before the old authentication mechanism expires, configuring automated reminders if necessary.</t>
        </is>
      </c>
      <c r="E33" s="23" t="n">
        <v>3</v>
      </c>
      <c r="F33" s="18" t="inlineStr">
        <is>
          <t>Not Started</t>
        </is>
      </c>
      <c r="G33" t="inlineStr">
        <is>
          <t>Provides users with timely renewal notifications for expiring authentication methods, preventing loss of access and maintaining continuous account security.</t>
        </is>
      </c>
      <c r="H33" s="16" t="n"/>
    </row>
    <row r="34" ht="30" customHeight="1">
      <c r="A34" s="19" t="inlineStr">
        <is>
          <t>V6.4</t>
        </is>
      </c>
      <c r="B34" s="19" t="inlineStr">
        <is>
          <t>Authentication Factor Lifecycle and Recovery</t>
        </is>
      </c>
      <c r="C34" s="20" t="inlineStr">
        <is>
          <t>V6.4.6</t>
        </is>
      </c>
      <c r="D34" s="21" t="inlineStr">
        <is>
          <t>Verify that administrative users can initiate the password reset process for the user, but that this does not allow them to change or choose the user's password. This prevents a situation where they know the user's password.</t>
        </is>
      </c>
      <c r="E34" s="23" t="n">
        <v>3</v>
      </c>
      <c r="F34" s="18" t="inlineStr">
        <is>
          <t>Not Started</t>
        </is>
      </c>
      <c r="G34" t="inlineStr">
        <is>
          <t>Allows  administrators to assist with password resets without ever knowing or setting the user’s actual password, preserving account confidentiality.</t>
        </is>
      </c>
      <c r="H34" s="21" t="n"/>
    </row>
    <row r="35" ht="18" customHeight="1">
      <c r="A35" s="13" t="inlineStr">
        <is>
          <t>V6.5</t>
        </is>
      </c>
      <c r="B35" s="13" t="inlineStr">
        <is>
          <t>General Multi-factor authentication requirements</t>
        </is>
      </c>
      <c r="C35" s="13" t="n"/>
      <c r="D35" s="13" t="n"/>
      <c r="E35" s="13" t="n"/>
      <c r="F35" s="13" t="n"/>
      <c r="G35" s="13" t="n"/>
      <c r="H35" s="13" t="n"/>
    </row>
    <row r="36" ht="30" customHeight="1">
      <c r="A36" s="14" t="inlineStr">
        <is>
          <t>V6.5</t>
        </is>
      </c>
      <c r="B36" s="14" t="inlineStr">
        <is>
          <t>General Multi-factor authentication requirements</t>
        </is>
      </c>
      <c r="C36" s="15" t="inlineStr">
        <is>
          <t>V6.5.1</t>
        </is>
      </c>
      <c r="D36" s="16" t="inlineStr">
        <is>
          <t>Verify that lookup secrets, out-of-band authentication requests or codes, and time-based one-time passwords (TOTPs) are only successfully usable once.</t>
        </is>
      </c>
      <c r="E36" s="17" t="n">
        <v>2</v>
      </c>
      <c r="F36" s="18" t="inlineStr">
        <is>
          <t>Not Started</t>
        </is>
      </c>
      <c r="G36" t="inlineStr">
        <is>
          <t>Prevents Kryptos from accepting reused authentication codes, reducing replay attacks and protecting account access.</t>
        </is>
      </c>
      <c r="H36" s="16" t="n"/>
    </row>
    <row r="37" ht="30" customHeight="1">
      <c r="A37" s="19" t="inlineStr">
        <is>
          <t>V6.5</t>
        </is>
      </c>
      <c r="B37" s="19" t="inlineStr">
        <is>
          <t>General Multi-factor authentication requirements</t>
        </is>
      </c>
      <c r="C37" s="20" t="inlineStr">
        <is>
          <t>V6.5.2</t>
        </is>
      </c>
      <c r="D37" s="21"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17" t="n">
        <v>2</v>
      </c>
      <c r="F37" s="18" t="inlineStr">
        <is>
          <t>Not Started</t>
        </is>
      </c>
      <c r="G37" t="inlineStr">
        <is>
          <t>Requires Kryptos to store lower-entropy lookup secrets securely with salted password hashing, reducing the risk of secret disclosure if backend data is compromised.</t>
        </is>
      </c>
      <c r="H37" s="21" t="n"/>
    </row>
    <row r="38" ht="30" customHeight="1">
      <c r="A38" s="14" t="inlineStr">
        <is>
          <t>V6.5</t>
        </is>
      </c>
      <c r="B38" s="14" t="inlineStr">
        <is>
          <t>General Multi-factor authentication requirements</t>
        </is>
      </c>
      <c r="C38" s="15" t="inlineStr">
        <is>
          <t>V6.5.3</t>
        </is>
      </c>
      <c r="D38" s="16" t="inlineStr">
        <is>
          <t>Verify that lookup secrets, out-of-band authentication code, and time-based one-time password seeds, are generated using a Cryptographically Secure Pseudorandom Number Generator (CSPRNG) to avoid predictable values.</t>
        </is>
      </c>
      <c r="E38" s="17" t="n">
        <v>2</v>
      </c>
      <c r="F38" s="18" t="inlineStr">
        <is>
          <t>Not Applicable</t>
        </is>
      </c>
      <c r="H38" s="16" t="n"/>
    </row>
    <row r="39" ht="30" customHeight="1">
      <c r="A39" s="19" t="inlineStr">
        <is>
          <t>V6.5</t>
        </is>
      </c>
      <c r="B39" s="19" t="inlineStr">
        <is>
          <t>General Multi-factor authentication requirements</t>
        </is>
      </c>
      <c r="C39" s="20" t="inlineStr">
        <is>
          <t>V6.5.4</t>
        </is>
      </c>
      <c r="D39" s="21" t="inlineStr">
        <is>
          <t>Verify that lookup secrets and out-of-band authentication codes have a minimum of 20 bits of entropy (typically 4 random alphanumeric characters or 6 random digits is sufficient).</t>
        </is>
      </c>
      <c r="E39" s="17" t="n">
        <v>2</v>
      </c>
      <c r="F39" s="18" t="inlineStr">
        <is>
          <t>Not Applicable</t>
        </is>
      </c>
      <c r="H39" s="21" t="n"/>
    </row>
    <row r="40" ht="30" customHeight="1">
      <c r="A40" s="14" t="inlineStr">
        <is>
          <t>V6.5</t>
        </is>
      </c>
      <c r="B40" s="14" t="inlineStr">
        <is>
          <t>General Multi-factor authentication requirements</t>
        </is>
      </c>
      <c r="C40" s="15" t="inlineStr">
        <is>
          <t>V6.5.5</t>
        </is>
      </c>
      <c r="D40" s="16" t="inlineStr">
        <is>
          <t>Verify that out-of-band authentication requests, codes, or tokens, as well as time-based one-time passwords (TOTPs) have a defined lifetime. Out of band requests must have a maximum lifetime of 10 minutes and for TOTP a maximum lifetime of 30 seconds.</t>
        </is>
      </c>
      <c r="E40" s="17" t="n">
        <v>2</v>
      </c>
      <c r="F40" s="18" t="inlineStr">
        <is>
          <t>Not Started</t>
        </is>
      </c>
      <c r="G40" t="inlineStr">
        <is>
          <t>Defines short lifetimes for authentication codes in Kryptos to limit their validity window and reduce the risk of interception or reuse.</t>
        </is>
      </c>
      <c r="H40" s="16" t="n"/>
    </row>
    <row r="41" ht="30" customHeight="1">
      <c r="A41" s="19" t="inlineStr">
        <is>
          <t>V6.5</t>
        </is>
      </c>
      <c r="B41" s="19" t="inlineStr">
        <is>
          <t>General Multi-factor authentication requirements</t>
        </is>
      </c>
      <c r="C41" s="20" t="inlineStr">
        <is>
          <t>V6.5.6</t>
        </is>
      </c>
      <c r="D41" s="21" t="inlineStr">
        <is>
          <t>Verify that any authentication factor (including physical devices) can be revoked in case of theft or other loss.</t>
        </is>
      </c>
      <c r="E41" s="23" t="n">
        <v>3</v>
      </c>
      <c r="F41" s="18" t="inlineStr">
        <is>
          <t>Not Started</t>
        </is>
      </c>
      <c r="G41" t="inlineStr">
        <is>
          <t>Allows revoking compromised authentication factors, preventing unauthorized access if a device or credential is lost or stolen.</t>
        </is>
      </c>
      <c r="H41" s="21" t="n"/>
    </row>
    <row r="42" ht="30" customHeight="1">
      <c r="A42" s="14" t="inlineStr">
        <is>
          <t>V6.5</t>
        </is>
      </c>
      <c r="B42" s="14" t="inlineStr">
        <is>
          <t>General Multi-factor authentication requirements</t>
        </is>
      </c>
      <c r="C42" s="15" t="inlineStr">
        <is>
          <t>V6.5.7</t>
        </is>
      </c>
      <c r="D42" s="16" t="inlineStr">
        <is>
          <t>Verify that biometric authentication mechanisms are only used as secondary factors together with either something you have or something you know.</t>
        </is>
      </c>
      <c r="E42" s="23" t="n">
        <v>3</v>
      </c>
      <c r="F42" s="18" t="inlineStr">
        <is>
          <t>Not Applicable</t>
        </is>
      </c>
      <c r="G42" s="16" t="n"/>
      <c r="H42" s="16" t="n"/>
    </row>
    <row r="43" ht="30" customHeight="1">
      <c r="A43" s="19" t="inlineStr">
        <is>
          <t>V6.5</t>
        </is>
      </c>
      <c r="B43" s="19" t="inlineStr">
        <is>
          <t>General Multi-factor authentication requirements</t>
        </is>
      </c>
      <c r="C43" s="20" t="inlineStr">
        <is>
          <t>V6.5.8</t>
        </is>
      </c>
      <c r="D43" s="21" t="inlineStr">
        <is>
          <t>Verify that time-based one-time passwords (TOTPs) are checked based on a time source from a trusted service and not from an untrusted or client provided time.</t>
        </is>
      </c>
      <c r="E43" s="23" t="n">
        <v>3</v>
      </c>
      <c r="F43" s="18" t="inlineStr">
        <is>
          <t>Not Started</t>
        </is>
      </c>
      <c r="G43" t="inlineStr">
        <is>
          <t>Uses a trusted server-side time source in Kryptos for TOTP validation, preventing manipulation of authentication by altering client-side time.</t>
        </is>
      </c>
      <c r="H43" s="21" t="n"/>
    </row>
    <row r="44" ht="18" customHeight="1">
      <c r="A44" s="13" t="inlineStr">
        <is>
          <t>V6.6</t>
        </is>
      </c>
      <c r="B44" s="13" t="inlineStr">
        <is>
          <t>Out-of-Band authentication mechanisms</t>
        </is>
      </c>
      <c r="C44" s="13" t="n"/>
      <c r="D44" s="13" t="n"/>
      <c r="E44" s="13" t="n"/>
      <c r="F44" s="13" t="n"/>
      <c r="G44" s="13" t="n"/>
      <c r="H44" s="13" t="n"/>
    </row>
    <row r="45" ht="30" customHeight="1">
      <c r="A45" s="14" t="inlineStr">
        <is>
          <t>V6.6</t>
        </is>
      </c>
      <c r="B45" s="14" t="inlineStr">
        <is>
          <t>Out-of-Band authentication mechanisms</t>
        </is>
      </c>
      <c r="C45" s="15" t="inlineStr">
        <is>
          <t>V6.6.1</t>
        </is>
      </c>
      <c r="D45" s="16"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17" t="n">
        <v>2</v>
      </c>
      <c r="F45" s="18" t="inlineStr">
        <is>
          <t>Not Applicable</t>
        </is>
      </c>
      <c r="G45" s="16" t="n"/>
      <c r="H45" s="16" t="n"/>
    </row>
    <row r="46" ht="30" customHeight="1">
      <c r="A46" s="19" t="inlineStr">
        <is>
          <t>V6.6</t>
        </is>
      </c>
      <c r="B46" s="19" t="inlineStr">
        <is>
          <t>Out-of-Band authentication mechanisms</t>
        </is>
      </c>
      <c r="C46" s="20" t="inlineStr">
        <is>
          <t>V6.6.2</t>
        </is>
      </c>
      <c r="D46" s="21" t="inlineStr">
        <is>
          <t>Verify that out-of-band authentication requests, codes, or tokens are bound to the original authentication request for which they were generated and are not usable for a previous or subsequent one.</t>
        </is>
      </c>
      <c r="E46" s="17" t="n">
        <v>2</v>
      </c>
      <c r="F46" s="18" t="inlineStr">
        <is>
          <t>Not Applicable</t>
        </is>
      </c>
      <c r="G46" s="21" t="n"/>
      <c r="H46" s="21" t="n"/>
    </row>
    <row r="47" ht="30" customHeight="1">
      <c r="A47" s="14" t="inlineStr">
        <is>
          <t>V6.6</t>
        </is>
      </c>
      <c r="B47" s="14" t="inlineStr">
        <is>
          <t>Out-of-Band authentication mechanisms</t>
        </is>
      </c>
      <c r="C47" s="15" t="inlineStr">
        <is>
          <t>V6.6.3</t>
        </is>
      </c>
      <c r="D47" s="16" t="inlineStr">
        <is>
          <t>Verify that a code based out-of-band authentication mechanism is protected against brute force attacks by using rate limiting. Consider also using a code with at least 64 bits of entropy.</t>
        </is>
      </c>
      <c r="E47" s="17" t="n">
        <v>2</v>
      </c>
      <c r="F47" s="18" t="inlineStr">
        <is>
          <t>Not Applicable</t>
        </is>
      </c>
      <c r="G47" s="16" t="n"/>
      <c r="H47" s="16" t="n"/>
    </row>
    <row r="48" ht="30" customHeight="1">
      <c r="A48" s="19" t="inlineStr">
        <is>
          <t>V6.6</t>
        </is>
      </c>
      <c r="B48" s="19" t="inlineStr">
        <is>
          <t>Out-of-Band authentication mechanisms</t>
        </is>
      </c>
      <c r="C48" s="20" t="inlineStr">
        <is>
          <t>V6.6.4</t>
        </is>
      </c>
      <c r="D48" s="21" t="inlineStr">
        <is>
          <t>Verify that, where push notifications are used for multi-factor authentication, rate limiting is used to prevent push bombing attacks. Number matching may also mitigate this risk.</t>
        </is>
      </c>
      <c r="E48" s="23" t="n">
        <v>3</v>
      </c>
      <c r="F48" s="18" t="inlineStr">
        <is>
          <t>Not Applicable</t>
        </is>
      </c>
      <c r="G48" s="21" t="n"/>
      <c r="H48" s="21" t="n"/>
    </row>
    <row r="49" ht="18" customHeight="1">
      <c r="A49" s="13" t="inlineStr">
        <is>
          <t>V6.7</t>
        </is>
      </c>
      <c r="B49" s="13" t="inlineStr">
        <is>
          <t>Cryptographic authentication mechanism</t>
        </is>
      </c>
      <c r="C49" s="13" t="n"/>
      <c r="D49" s="13" t="n"/>
      <c r="E49" s="13" t="n"/>
      <c r="F49" s="13" t="n"/>
      <c r="G49" s="13" t="n"/>
      <c r="H49" s="13" t="n"/>
    </row>
    <row r="50" ht="30" customHeight="1">
      <c r="A50" s="14" t="inlineStr">
        <is>
          <t>V6.7</t>
        </is>
      </c>
      <c r="B50" s="14" t="inlineStr">
        <is>
          <t>Cryptographic authentication mechanism</t>
        </is>
      </c>
      <c r="C50" s="15" t="inlineStr">
        <is>
          <t>V6.7.1</t>
        </is>
      </c>
      <c r="D50" s="16" t="inlineStr">
        <is>
          <t>Verify that the certificates used to verify cryptographic authentication assertions are stored in a way protects them from modification.</t>
        </is>
      </c>
      <c r="E50" s="23" t="n">
        <v>3</v>
      </c>
      <c r="F50" s="18" t="inlineStr">
        <is>
          <t>Not Applicable</t>
        </is>
      </c>
      <c r="G50" s="16" t="n"/>
      <c r="H50" s="16" t="n"/>
    </row>
    <row r="51" ht="30" customHeight="1">
      <c r="A51" s="19" t="inlineStr">
        <is>
          <t>V6.7</t>
        </is>
      </c>
      <c r="B51" s="19" t="inlineStr">
        <is>
          <t>Cryptographic authentication mechanism</t>
        </is>
      </c>
      <c r="C51" s="20" t="inlineStr">
        <is>
          <t>V6.7.2</t>
        </is>
      </c>
      <c r="D51" s="21" t="inlineStr">
        <is>
          <t>Verify that the challenge nonce is at least 64 bits in length, and statistically unique or unique over the lifetime of the cryptographic device.</t>
        </is>
      </c>
      <c r="E51" s="23" t="n">
        <v>3</v>
      </c>
      <c r="F51" s="18" t="inlineStr">
        <is>
          <t>Not Applicable</t>
        </is>
      </c>
      <c r="G51" s="21" t="n"/>
      <c r="H51" s="21" t="n"/>
    </row>
    <row r="52" ht="18" customHeight="1">
      <c r="A52" s="13" t="inlineStr">
        <is>
          <t>V6.8</t>
        </is>
      </c>
      <c r="B52" s="13" t="inlineStr">
        <is>
          <t>Authentication with an Identity Provider</t>
        </is>
      </c>
      <c r="C52" s="13" t="n"/>
      <c r="D52" s="13" t="n"/>
      <c r="E52" s="13" t="n"/>
      <c r="F52" s="13" t="n"/>
      <c r="G52" s="13" t="n"/>
      <c r="H52" s="13" t="n"/>
    </row>
    <row r="53" ht="30" customHeight="1">
      <c r="A53" s="14" t="inlineStr">
        <is>
          <t>V6.8</t>
        </is>
      </c>
      <c r="B53" s="14" t="inlineStr">
        <is>
          <t>Authentication with an Identity Provider</t>
        </is>
      </c>
      <c r="C53" s="15" t="inlineStr">
        <is>
          <t>V6.8.1</t>
        </is>
      </c>
      <c r="D53" s="16"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17" t="n">
        <v>2</v>
      </c>
      <c r="F53" s="18" t="inlineStr">
        <is>
          <t>Not Applicable</t>
        </is>
      </c>
      <c r="G53" s="16" t="n"/>
      <c r="H53" s="16" t="n"/>
    </row>
    <row r="54" ht="30" customHeight="1">
      <c r="A54" s="19" t="inlineStr">
        <is>
          <t>V6.8</t>
        </is>
      </c>
      <c r="B54" s="19" t="inlineStr">
        <is>
          <t>Authentication with an Identity Provider</t>
        </is>
      </c>
      <c r="C54" s="20" t="inlineStr">
        <is>
          <t>V6.8.2</t>
        </is>
      </c>
      <c r="D54" s="21" t="inlineStr">
        <is>
          <t>Verify that the presence and integrity of digital signatures on authentication assertions (for example on JWTs or SAML assertions) are always validated, rejecting any assertions that are unsigned or have invalid signatures.</t>
        </is>
      </c>
      <c r="E54" s="17" t="n">
        <v>2</v>
      </c>
      <c r="F54" s="18" t="inlineStr">
        <is>
          <t>Not Applicable</t>
        </is>
      </c>
      <c r="G54" s="21" t="n"/>
      <c r="H54" s="21" t="n"/>
    </row>
    <row r="55" ht="30" customHeight="1">
      <c r="A55" s="14" t="inlineStr">
        <is>
          <t>V6.8</t>
        </is>
      </c>
      <c r="B55" s="14" t="inlineStr">
        <is>
          <t>Authentication with an Identity Provider</t>
        </is>
      </c>
      <c r="C55" s="15" t="inlineStr">
        <is>
          <t>V6.8.3</t>
        </is>
      </c>
      <c r="D55" s="16" t="inlineStr">
        <is>
          <t>Verify that SAML assertions are uniquely processed and used only once within the validity period to prevent replay attacks.</t>
        </is>
      </c>
      <c r="E55" s="17" t="n">
        <v>2</v>
      </c>
      <c r="F55" s="18" t="inlineStr">
        <is>
          <t>Not Applicable</t>
        </is>
      </c>
      <c r="G55" s="16" t="n"/>
      <c r="H55" s="16" t="n"/>
    </row>
    <row r="56" ht="30" customHeight="1">
      <c r="A56" s="19" t="inlineStr">
        <is>
          <t>V6.8</t>
        </is>
      </c>
      <c r="B56" s="19" t="inlineStr">
        <is>
          <t>Authentication with an Identity Provider</t>
        </is>
      </c>
      <c r="C56" s="20" t="inlineStr">
        <is>
          <t>V6.8.4</t>
        </is>
      </c>
      <c r="D56" s="21"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17" t="n">
        <v>2</v>
      </c>
      <c r="F56" s="18" t="inlineStr">
        <is>
          <t>Not Applicable</t>
        </is>
      </c>
      <c r="G56" s="21" t="n"/>
      <c r="H56" s="21" t="n"/>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8.xml><?xml version="1.0" encoding="utf-8"?>
<worksheet xmlns="http://schemas.openxmlformats.org/spreadsheetml/2006/main">
  <sheetPr>
    <outlinePr summaryBelow="1" summaryRight="1"/>
    <pageSetUpPr/>
  </sheetPr>
  <dimension ref="A1:H26"/>
  <sheetViews>
    <sheetView zoomScale="75" zoomScaleNormal="75" workbookViewId="0">
      <pane ySplit="1" topLeftCell="A2" activePane="bottomLeft" state="frozen"/>
      <selection pane="bottomLeft" activeCell="F25" sqref="F25"/>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V7.1</t>
        </is>
      </c>
      <c r="B2" s="13" t="inlineStr">
        <is>
          <t>Session Management Documentation</t>
        </is>
      </c>
      <c r="C2" s="13" t="n"/>
      <c r="D2" s="13" t="n"/>
      <c r="E2" s="13" t="n"/>
      <c r="F2" s="13" t="n"/>
      <c r="G2" s="13" t="n"/>
      <c r="H2" s="13" t="n"/>
    </row>
    <row r="3" ht="30" customHeight="1">
      <c r="A3" s="14" t="inlineStr">
        <is>
          <t>V7.1</t>
        </is>
      </c>
      <c r="B3" s="14" t="inlineStr">
        <is>
          <t>Session Management Documentation</t>
        </is>
      </c>
      <c r="C3" s="15" t="inlineStr">
        <is>
          <t>V7.1.1</t>
        </is>
      </c>
      <c r="D3" s="16"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17" t="n">
        <v>2</v>
      </c>
      <c r="F3" s="18" t="inlineStr">
        <is>
          <t>Not Started</t>
        </is>
      </c>
      <c r="G3" t="inlineStr">
        <is>
          <t>Applicable, since Kryptos manages authenticated sessions for access to sensitive credential data, requiring clearly defined and justified session timeout policies.</t>
        </is>
      </c>
      <c r="H3" s="16" t="n"/>
    </row>
    <row r="4" ht="30" customHeight="1">
      <c r="A4" s="19" t="inlineStr">
        <is>
          <t>V7.1</t>
        </is>
      </c>
      <c r="B4" s="19" t="inlineStr">
        <is>
          <t>Session Management Documentation</t>
        </is>
      </c>
      <c r="C4" s="20" t="inlineStr">
        <is>
          <t>V7.1.2</t>
        </is>
      </c>
      <c r="D4" s="21" t="inlineStr">
        <is>
          <t>Verify that the documentation defines how many concurrent (parallel) sessions are allowed for one account as well as the intended behaviors and actions to be taken when the maximum number of active sessions is reached.</t>
        </is>
      </c>
      <c r="E4" s="17" t="n">
        <v>2</v>
      </c>
      <c r="F4" s="18" t="inlineStr">
        <is>
          <t>Not Applicable</t>
        </is>
      </c>
      <c r="G4" s="21" t="n"/>
      <c r="H4" s="21" t="n"/>
    </row>
    <row r="5" ht="30" customHeight="1">
      <c r="A5" s="14" t="inlineStr">
        <is>
          <t>V7.1</t>
        </is>
      </c>
      <c r="B5" s="14" t="inlineStr">
        <is>
          <t>Session Management Documentation</t>
        </is>
      </c>
      <c r="C5" s="15" t="inlineStr">
        <is>
          <t>V7.1.3</t>
        </is>
      </c>
      <c r="D5" s="16"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17" t="n">
        <v>2</v>
      </c>
      <c r="F5" s="18" t="inlineStr">
        <is>
          <t>Not Applicable</t>
        </is>
      </c>
      <c r="G5" s="16" t="n"/>
      <c r="H5" s="16" t="n"/>
    </row>
    <row r="6" ht="18" customHeight="1">
      <c r="A6" s="13" t="inlineStr">
        <is>
          <t>V7.2</t>
        </is>
      </c>
      <c r="B6" s="13" t="inlineStr">
        <is>
          <t>Fundamental Session Management Security</t>
        </is>
      </c>
      <c r="C6" s="13" t="n"/>
      <c r="D6" s="13" t="n"/>
      <c r="E6" s="13" t="n"/>
      <c r="F6" s="13" t="n"/>
      <c r="G6" s="13" t="n"/>
      <c r="H6" s="13" t="n"/>
    </row>
    <row r="7" ht="30" customHeight="1">
      <c r="A7" s="14" t="inlineStr">
        <is>
          <t>V7.2</t>
        </is>
      </c>
      <c r="B7" s="14" t="inlineStr">
        <is>
          <t>Fundamental Session Management Security</t>
        </is>
      </c>
      <c r="C7" s="15" t="inlineStr">
        <is>
          <t>V7.2.1</t>
        </is>
      </c>
      <c r="D7" s="16" t="inlineStr">
        <is>
          <t>Verify that the application performs all session token verification using a trusted, backend service.</t>
        </is>
      </c>
      <c r="E7" s="22" t="n">
        <v>1</v>
      </c>
      <c r="F7" s="18" t="inlineStr">
        <is>
          <t>Compliant</t>
        </is>
      </c>
      <c r="G7" t="inlineStr">
        <is>
          <t>JwtAuthFilter validates the token on every request against JwtService.isTokenValid (signature, username, expiry). Spring SessionCreationPolicy.STATELESS.</t>
        </is>
      </c>
      <c r="H7" s="16" t="inlineStr">
        <is>
          <t>backend/src/main/java/com/kryptos/shared/security/JwtAuthFilter.java; SecurityConfig.java</t>
        </is>
      </c>
    </row>
    <row r="8" ht="30" customHeight="1">
      <c r="A8" s="19" t="inlineStr">
        <is>
          <t>V7.2</t>
        </is>
      </c>
      <c r="B8" s="19" t="inlineStr">
        <is>
          <t>Fundamental Session Management Security</t>
        </is>
      </c>
      <c r="C8" s="20" t="inlineStr">
        <is>
          <t>V7.2.2</t>
        </is>
      </c>
      <c r="D8" s="21" t="inlineStr">
        <is>
          <t>Verify that the application uses either self-contained or reference tokens that are dynamically generated for session management, i.e. not using static API secrets and keys.</t>
        </is>
      </c>
      <c r="E8" s="22" t="n">
        <v>1</v>
      </c>
      <c r="F8" s="18" t="inlineStr">
        <is>
          <t>Compliant</t>
        </is>
      </c>
      <c r="G8" t="inlineStr">
        <is>
          <t>JWTs are generated dynamically per login (signed with HS256 over user+role+iat+exp). No static API secret is used as a session token.</t>
        </is>
      </c>
      <c r="H8" s="21" t="inlineStr">
        <is>
          <t>JwtService.generateToken; AuthService.login</t>
        </is>
      </c>
    </row>
    <row r="9" ht="30" customHeight="1">
      <c r="A9" s="14" t="inlineStr">
        <is>
          <t>V7.2</t>
        </is>
      </c>
      <c r="B9" s="14" t="inlineStr">
        <is>
          <t>Fundamental Session Management Security</t>
        </is>
      </c>
      <c r="C9" s="15" t="inlineStr">
        <is>
          <t>V7.2.3</t>
        </is>
      </c>
      <c r="D9" s="16" t="inlineStr">
        <is>
          <t>Verify that if reference tokens are used to represent user sessions, they are unique and generated using a cryptographically secure pseudo-random number generator (CSPRNG) and possess at least 128 bits of entropy.</t>
        </is>
      </c>
      <c r="E9" s="22" t="n">
        <v>1</v>
      </c>
      <c r="F9" s="18" t="inlineStr">
        <is>
          <t>Not Applicable</t>
        </is>
      </c>
      <c r="G9" t="inlineStr">
        <is>
          <t>Kryptos uses self-contained tokens (JWT/HS256), not opaque reference tokens.</t>
        </is>
      </c>
      <c r="H9" s="16" t="n"/>
    </row>
    <row r="10" ht="30" customHeight="1">
      <c r="A10" s="19" t="inlineStr">
        <is>
          <t>V7.2</t>
        </is>
      </c>
      <c r="B10" s="19" t="inlineStr">
        <is>
          <t>Fundamental Session Management Security</t>
        </is>
      </c>
      <c r="C10" s="20" t="inlineStr">
        <is>
          <t>V7.2.4</t>
        </is>
      </c>
      <c r="D10" s="21" t="inlineStr">
        <is>
          <t>Verify that the application generates a new session token on user authentication, including re-authentication, and terminates the current session token.</t>
        </is>
      </c>
      <c r="E10" s="22" t="n">
        <v>1</v>
      </c>
      <c r="F10" s="18" t="inlineStr">
        <is>
          <t>Not Started</t>
        </is>
      </c>
      <c r="G10" t="inlineStr">
        <is>
          <t>Generating a new session token upon authentication in Kryptos and invalidating the previous one reduces the risk of session fixation and unauthorized session reuse.</t>
        </is>
      </c>
      <c r="H10" s="21" t="n"/>
    </row>
    <row r="11" ht="18" customHeight="1">
      <c r="A11" s="13" t="inlineStr">
        <is>
          <t>V7.3</t>
        </is>
      </c>
      <c r="B11" s="13" t="inlineStr">
        <is>
          <t>Session Timeout</t>
        </is>
      </c>
      <c r="C11" s="13" t="n"/>
      <c r="D11" s="13" t="n"/>
      <c r="E11" s="13" t="n"/>
      <c r="F11" s="13" t="n"/>
      <c r="G11" s="13" t="n"/>
      <c r="H11" s="13" t="n"/>
    </row>
    <row r="12" ht="30" customHeight="1">
      <c r="A12" s="14" t="inlineStr">
        <is>
          <t>V7.3</t>
        </is>
      </c>
      <c r="B12" s="14" t="inlineStr">
        <is>
          <t>Session Timeout</t>
        </is>
      </c>
      <c r="C12" s="15" t="inlineStr">
        <is>
          <t>V7.3.1</t>
        </is>
      </c>
      <c r="D12" s="16" t="inlineStr">
        <is>
          <t>Verify that there is an inactivity timeout such that re-authentication is enforced according to risk analysis and documented security decisions.</t>
        </is>
      </c>
      <c r="E12" s="17" t="n">
        <v>2</v>
      </c>
      <c r="F12" s="18" t="inlineStr">
        <is>
          <t>Compliant</t>
        </is>
      </c>
      <c r="G12" t="inlineStr">
        <is>
          <t>Session timeout is enforced via JWT expiry (default JWT_EXPIRATION = 3 600 000 ms = 1 h). Expired tokens are rejected by JwtService.isTokenValid.</t>
        </is>
      </c>
      <c r="H12" s="16" t="inlineStr">
        <is>
          <t>JwtService.isTokenExpired; JwtServiceTest.isTokenValid_shouldReturnFalse_forExpiredToken</t>
        </is>
      </c>
    </row>
    <row r="13" ht="30" customHeight="1">
      <c r="A13" s="19" t="inlineStr">
        <is>
          <t>V7.3</t>
        </is>
      </c>
      <c r="B13" s="19" t="inlineStr">
        <is>
          <t>Session Timeout</t>
        </is>
      </c>
      <c r="C13" s="20" t="inlineStr">
        <is>
          <t>V7.3.2</t>
        </is>
      </c>
      <c r="D13" s="21" t="inlineStr">
        <is>
          <t>Verify that there is an absolute maximum session lifetime such that re-authentication is enforced according to risk analysis and documented security decisions.</t>
        </is>
      </c>
      <c r="E13" s="17" t="n">
        <v>2</v>
      </c>
      <c r="F13" s="18" t="inlineStr">
        <is>
          <t>Compliant</t>
        </is>
      </c>
      <c r="G13" t="inlineStr">
        <is>
          <t>Absolute lifetime = JWT exp claim (1 h by default); no refresh-token endpoint exists, so re-auth is required after exp.</t>
        </is>
      </c>
      <c r="H13" s="21" t="inlineStr">
        <is>
          <t>JwtService.generateToken; application.properties#jwt.expiration</t>
        </is>
      </c>
    </row>
    <row r="14" ht="18" customHeight="1">
      <c r="A14" s="13" t="inlineStr">
        <is>
          <t>V7.4</t>
        </is>
      </c>
      <c r="B14" s="13" t="inlineStr">
        <is>
          <t>Session Termination</t>
        </is>
      </c>
      <c r="C14" s="13" t="n"/>
      <c r="D14" s="13" t="n"/>
      <c r="E14" s="13" t="n"/>
      <c r="F14" s="13" t="n"/>
      <c r="G14" s="13" t="n"/>
      <c r="H14" s="13" t="n"/>
    </row>
    <row r="15" ht="30" customHeight="1">
      <c r="A15" s="14" t="inlineStr">
        <is>
          <t>V7.4</t>
        </is>
      </c>
      <c r="B15" s="14" t="inlineStr">
        <is>
          <t>Session Termination</t>
        </is>
      </c>
      <c r="C15" s="15" t="inlineStr">
        <is>
          <t>V7.4.1</t>
        </is>
      </c>
      <c r="D15" s="16"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22" t="n">
        <v>1</v>
      </c>
      <c r="F15" s="18" t="inlineStr">
        <is>
          <t>Not Started</t>
        </is>
      </c>
      <c r="G15" t="inlineStr">
        <is>
          <t>Proper session termination in Kryptos ensures that once a session ends, its token can no longer be used, preventing unauthorized reuse or hijacking of expired sessions.</t>
        </is>
      </c>
      <c r="H15" s="16" t="n"/>
    </row>
    <row r="16" ht="30" customHeight="1">
      <c r="A16" s="19" t="inlineStr">
        <is>
          <t>V7.4</t>
        </is>
      </c>
      <c r="B16" s="19" t="inlineStr">
        <is>
          <t>Session Termination</t>
        </is>
      </c>
      <c r="C16" s="20" t="inlineStr">
        <is>
          <t>V7.4.2</t>
        </is>
      </c>
      <c r="D16" s="21" t="inlineStr">
        <is>
          <t>Verify that the application terminates all active sessions when a user account is disabled or deleted (such as an employee leaving the company).</t>
        </is>
      </c>
      <c r="E16" s="22" t="n">
        <v>1</v>
      </c>
      <c r="F16" s="18" t="inlineStr">
        <is>
          <t>Not Started</t>
        </is>
      </c>
      <c r="G16" t="inlineStr">
        <is>
          <t>Terminating all active sessions when an account is disabled or deleted prevents former users from retaining access to sensitive information.</t>
        </is>
      </c>
      <c r="H16" s="21" t="n"/>
    </row>
    <row r="17" ht="30" customHeight="1">
      <c r="A17" s="14" t="inlineStr">
        <is>
          <t>V7.4</t>
        </is>
      </c>
      <c r="B17" s="14" t="inlineStr">
        <is>
          <t>Session Termination</t>
        </is>
      </c>
      <c r="C17" s="15" t="inlineStr">
        <is>
          <t>V7.4.3</t>
        </is>
      </c>
      <c r="D17" s="16" t="inlineStr">
        <is>
          <t>Verify that the application gives the option to terminate all other active sessions after a successful change or removal of any authentication factor (including password change via reset or recovery and, if present, an MFA settings update).</t>
        </is>
      </c>
      <c r="E17" s="17" t="n">
        <v>2</v>
      </c>
      <c r="F17" s="18" t="inlineStr">
        <is>
          <t>Not Applicable</t>
        </is>
      </c>
      <c r="G17" s="16" t="n"/>
      <c r="H17" s="16" t="n"/>
    </row>
    <row r="18" ht="30" customHeight="1">
      <c r="A18" s="19" t="inlineStr">
        <is>
          <t>V7.4</t>
        </is>
      </c>
      <c r="B18" s="19" t="inlineStr">
        <is>
          <t>Session Termination</t>
        </is>
      </c>
      <c r="C18" s="20" t="inlineStr">
        <is>
          <t>V7.4.4</t>
        </is>
      </c>
      <c r="D18" s="21" t="inlineStr">
        <is>
          <t>Verify that all pages that require authentication have easy and visible access to logout functionality.</t>
        </is>
      </c>
      <c r="E18" s="17" t="n">
        <v>2</v>
      </c>
      <c r="F18" s="18" t="inlineStr">
        <is>
          <t>Not Applicable</t>
        </is>
      </c>
      <c r="G18" s="21" t="n"/>
      <c r="H18" s="21" t="n"/>
    </row>
    <row r="19" ht="30" customHeight="1">
      <c r="A19" s="14" t="inlineStr">
        <is>
          <t>V7.4</t>
        </is>
      </c>
      <c r="B19" s="14" t="inlineStr">
        <is>
          <t>Session Termination</t>
        </is>
      </c>
      <c r="C19" s="15" t="inlineStr">
        <is>
          <t>V7.4.5</t>
        </is>
      </c>
      <c r="D19" s="16" t="inlineStr">
        <is>
          <t>Verify that application administrators are able to terminate active sessions for an individual user or for all users.</t>
        </is>
      </c>
      <c r="E19" s="17" t="n">
        <v>2</v>
      </c>
      <c r="F19" s="18" t="inlineStr">
        <is>
          <t>Not Started</t>
        </is>
      </c>
      <c r="G19" t="inlineStr">
        <is>
          <t>Allowing administrators  to terminate user sessions enables rapid response to security incidents and prevents ongoing unauthorized access.</t>
        </is>
      </c>
      <c r="H19" s="16" t="n"/>
    </row>
    <row r="20" ht="18" customHeight="1">
      <c r="A20" s="13" t="inlineStr">
        <is>
          <t>V7.5</t>
        </is>
      </c>
      <c r="B20" s="13" t="inlineStr">
        <is>
          <t>Defenses Against Session Abuse</t>
        </is>
      </c>
      <c r="C20" s="13" t="n"/>
      <c r="D20" s="13" t="n"/>
      <c r="E20" s="13" t="n"/>
      <c r="F20" s="13" t="n"/>
      <c r="G20" s="13" t="n"/>
      <c r="H20" s="13" t="n"/>
    </row>
    <row r="21" ht="30" customHeight="1">
      <c r="A21" s="14" t="inlineStr">
        <is>
          <t>V7.5</t>
        </is>
      </c>
      <c r="B21" s="14" t="inlineStr">
        <is>
          <t>Defenses Against Session Abuse</t>
        </is>
      </c>
      <c r="C21" s="15" t="inlineStr">
        <is>
          <t>V7.5.1</t>
        </is>
      </c>
      <c r="D21" s="16"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17" t="n">
        <v>2</v>
      </c>
      <c r="F21" s="18" t="inlineStr">
        <is>
          <t>Not Started</t>
        </is>
      </c>
      <c r="G21" t="inlineStr">
        <is>
          <t>Requiring full re-authentication  before changing sensitive account details prevents attackers with a hijacked session from altering authentication or recovery information.</t>
        </is>
      </c>
      <c r="H21" s="16" t="n"/>
    </row>
    <row r="22" ht="30" customHeight="1">
      <c r="A22" s="19" t="inlineStr">
        <is>
          <t>V7.5</t>
        </is>
      </c>
      <c r="B22" s="19" t="inlineStr">
        <is>
          <t>Defenses Against Session Abuse</t>
        </is>
      </c>
      <c r="C22" s="20" t="inlineStr">
        <is>
          <t>V7.5.2</t>
        </is>
      </c>
      <c r="D22" s="21" t="inlineStr">
        <is>
          <t>Verify that users are able to view and (having authenticated again with at least one factor) terminate any or all currently active sessions.</t>
        </is>
      </c>
      <c r="E22" s="17" t="n">
        <v>2</v>
      </c>
      <c r="F22" s="18" t="inlineStr">
        <is>
          <t>Not Applicable</t>
        </is>
      </c>
      <c r="G22" s="21" t="n"/>
      <c r="H22" s="21" t="n"/>
    </row>
    <row r="23" ht="30" customHeight="1">
      <c r="A23" s="14" t="inlineStr">
        <is>
          <t>V7.5</t>
        </is>
      </c>
      <c r="B23" s="14" t="inlineStr">
        <is>
          <t>Defenses Against Session Abuse</t>
        </is>
      </c>
      <c r="C23" s="15" t="inlineStr">
        <is>
          <t>V7.5.3</t>
        </is>
      </c>
      <c r="D23" s="16" t="inlineStr">
        <is>
          <t>Verify that the application requires further authentication with at least one factor or secondary verification before performing highly sensitive transactions or operations.</t>
        </is>
      </c>
      <c r="E23" s="23" t="n">
        <v>3</v>
      </c>
      <c r="F23" s="18" t="inlineStr">
        <is>
          <t>Not Applicable</t>
        </is>
      </c>
      <c r="G23" s="16" t="n"/>
      <c r="H23" s="16" t="n"/>
    </row>
    <row r="24" ht="18" customHeight="1">
      <c r="A24" s="13" t="inlineStr">
        <is>
          <t>V7.6</t>
        </is>
      </c>
      <c r="B24" s="13" t="inlineStr">
        <is>
          <t>Federated Re-authentication</t>
        </is>
      </c>
      <c r="C24" s="13" t="n"/>
      <c r="D24" s="13" t="n"/>
      <c r="E24" s="13" t="n"/>
      <c r="F24" s="13" t="n"/>
      <c r="G24" s="13" t="n"/>
      <c r="H24" s="13" t="n"/>
    </row>
    <row r="25" ht="30" customHeight="1">
      <c r="A25" s="14" t="inlineStr">
        <is>
          <t>V7.6</t>
        </is>
      </c>
      <c r="B25" s="14" t="inlineStr">
        <is>
          <t>Federated Re-authentication</t>
        </is>
      </c>
      <c r="C25" s="15" t="inlineStr">
        <is>
          <t>V7.6.1</t>
        </is>
      </c>
      <c r="D25" s="16" t="inlineStr">
        <is>
          <t>Verify that session lifetime and termination between Relying Parties (RPs) and Identity Providers (IdPs) behave as documented, requiring re-authentication as necessary such as when the maximum time between IdP authentication events is reached.</t>
        </is>
      </c>
      <c r="E25" s="17" t="n">
        <v>2</v>
      </c>
      <c r="F25" s="18" t="inlineStr">
        <is>
          <t>Not Applicable</t>
        </is>
      </c>
      <c r="H25" s="16" t="n"/>
    </row>
    <row r="26" ht="30" customHeight="1">
      <c r="A26" s="19" t="inlineStr">
        <is>
          <t>V7.6</t>
        </is>
      </c>
      <c r="B26" s="19" t="inlineStr">
        <is>
          <t>Federated Re-authentication</t>
        </is>
      </c>
      <c r="C26" s="20" t="inlineStr">
        <is>
          <t>V7.6.2</t>
        </is>
      </c>
      <c r="D26" s="21" t="inlineStr">
        <is>
          <t>Verify that creation of a session requires either the user's consent or an explicit action, preventing the creation of new application sessions without user interaction.</t>
        </is>
      </c>
      <c r="E26" s="17" t="n">
        <v>2</v>
      </c>
      <c r="F26" s="18" t="inlineStr">
        <is>
          <t>Not Started</t>
        </is>
      </c>
      <c r="G26" t="inlineStr">
        <is>
          <t>Ensures correctenforcing of session expiration and re-authentication across IdP and RP interactions, preventing users from remaining authenticated beyond intended security limits.</t>
        </is>
      </c>
      <c r="H26" s="21" t="n"/>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9.xml><?xml version="1.0" encoding="utf-8"?>
<worksheet xmlns="http://schemas.openxmlformats.org/spreadsheetml/2006/main">
  <sheetPr>
    <outlinePr summaryBelow="1" summaryRight="1"/>
    <pageSetUpPr/>
  </sheetPr>
  <dimension ref="A1:H18"/>
  <sheetViews>
    <sheetView zoomScale="75" zoomScaleNormal="75" workbookViewId="0">
      <pane ySplit="1" topLeftCell="A2" activePane="bottomLeft" state="frozen"/>
      <selection pane="bottomLeft" activeCell="F13" sqref="F13"/>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V8.1</t>
        </is>
      </c>
      <c r="B2" s="13" t="inlineStr">
        <is>
          <t>Authorization Documentation</t>
        </is>
      </c>
      <c r="C2" s="13" t="n"/>
      <c r="D2" s="13" t="n"/>
      <c r="E2" s="13" t="n"/>
      <c r="F2" s="13" t="n"/>
      <c r="G2" s="13" t="n"/>
      <c r="H2" s="13" t="n"/>
    </row>
    <row r="3" ht="30" customHeight="1">
      <c r="A3" s="14" t="inlineStr">
        <is>
          <t>V8.1</t>
        </is>
      </c>
      <c r="B3" s="14" t="inlineStr">
        <is>
          <t>Authorization Documentation</t>
        </is>
      </c>
      <c r="C3" s="15" t="inlineStr">
        <is>
          <t>V8.1.1</t>
        </is>
      </c>
      <c r="D3" s="16" t="inlineStr">
        <is>
          <t>Verify that authorization documentation defines rules for restricting function-level and data-specific access based on consumer permissions and resource attributes.</t>
        </is>
      </c>
      <c r="E3" s="22" t="n">
        <v>1</v>
      </c>
      <c r="F3" s="18" t="inlineStr">
        <is>
          <t>Not Started</t>
        </is>
      </c>
      <c r="G3" t="inlineStr">
        <is>
          <t>Applicable to Kryptos since it uses role-based access and handles sensitive credential data, requiring clearly defined authorization rules for functions and data access based on permissions and resource attributes.</t>
        </is>
      </c>
      <c r="H3" s="16" t="n"/>
    </row>
    <row r="4" ht="30" customHeight="1">
      <c r="A4" s="19" t="inlineStr">
        <is>
          <t>V8.1</t>
        </is>
      </c>
      <c r="B4" s="19" t="inlineStr">
        <is>
          <t>Authorization Documentation</t>
        </is>
      </c>
      <c r="C4" s="20" t="inlineStr">
        <is>
          <t>V8.1.2</t>
        </is>
      </c>
      <c r="D4" s="21"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17" t="n">
        <v>2</v>
      </c>
      <c r="F4" s="18" t="inlineStr">
        <is>
          <t>Not Started</t>
        </is>
      </c>
      <c r="G4" t="inlineStr">
        <is>
          <t>Applicable to Kryptos as it manages sensitive credential data where certain fields may require restricted read/write access depending on user roles and resource attributes.</t>
        </is>
      </c>
      <c r="H4" s="21" t="n"/>
    </row>
    <row r="5" ht="30" customHeight="1">
      <c r="A5" s="14" t="inlineStr">
        <is>
          <t>V8.1</t>
        </is>
      </c>
      <c r="B5" s="14" t="inlineStr">
        <is>
          <t>Authorization Documentation</t>
        </is>
      </c>
      <c r="C5" s="15" t="inlineStr">
        <is>
          <t>V8.1.3</t>
        </is>
      </c>
      <c r="D5" s="16"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23" t="n">
        <v>3</v>
      </c>
      <c r="F5" s="18" t="inlineStr">
        <is>
          <t>Not Applicable</t>
        </is>
      </c>
      <c r="G5" s="16" t="n"/>
      <c r="H5" s="16" t="n"/>
    </row>
    <row r="6" ht="30" customHeight="1">
      <c r="A6" s="19" t="inlineStr">
        <is>
          <t>V8.1</t>
        </is>
      </c>
      <c r="B6" s="19" t="inlineStr">
        <is>
          <t>Authorization Documentation</t>
        </is>
      </c>
      <c r="C6" s="20" t="inlineStr">
        <is>
          <t>V8.1.4</t>
        </is>
      </c>
      <c r="D6" s="21"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23" t="n">
        <v>3</v>
      </c>
      <c r="F6" s="18" t="inlineStr">
        <is>
          <t>Not Applicable</t>
        </is>
      </c>
      <c r="G6" s="21" t="n"/>
      <c r="H6" s="21" t="n"/>
    </row>
    <row r="7" ht="18" customHeight="1">
      <c r="A7" s="13" t="inlineStr">
        <is>
          <t>V8.2</t>
        </is>
      </c>
      <c r="B7" s="13" t="inlineStr">
        <is>
          <t>General Authorization Design</t>
        </is>
      </c>
      <c r="C7" s="13" t="n"/>
      <c r="D7" s="13" t="n"/>
      <c r="E7" s="13" t="n"/>
      <c r="F7" s="13" t="n"/>
      <c r="G7" s="13" t="n"/>
      <c r="H7" s="13" t="n"/>
    </row>
    <row r="8" ht="30" customHeight="1">
      <c r="A8" s="14" t="inlineStr">
        <is>
          <t>V8.2</t>
        </is>
      </c>
      <c r="B8" s="14" t="inlineStr">
        <is>
          <t>General Authorization Design</t>
        </is>
      </c>
      <c r="C8" s="15" t="inlineStr">
        <is>
          <t>V8.2.1</t>
        </is>
      </c>
      <c r="D8" s="16" t="inlineStr">
        <is>
          <t>Verify that the application ensures that function-level access is restricted to consumers with explicit permissions.</t>
        </is>
      </c>
      <c r="E8" s="22" t="n">
        <v>1</v>
      </c>
      <c r="F8" s="18" t="inlineStr">
        <is>
          <t>Compliant</t>
        </is>
      </c>
      <c r="G8" t="inlineStr">
        <is>
          <t>Function-level access control via @PreAuthorize on every controller method (USER / ADMIN / AUDITOR / hasAnyRole). @EnableMethodSecurity enforces it at the proxy layer.</t>
        </is>
      </c>
      <c r="H8" s="16" t="inlineStr">
        <is>
          <t>All controllers under backend/src/main/java/com/kryptos/**/api/; AuditControllerTest (RBAC 200/401)</t>
        </is>
      </c>
    </row>
    <row r="9" ht="30" customHeight="1">
      <c r="A9" s="19" t="inlineStr">
        <is>
          <t>V8.2</t>
        </is>
      </c>
      <c r="B9" s="19" t="inlineStr">
        <is>
          <t>General Authorization Design</t>
        </is>
      </c>
      <c r="C9" s="20" t="inlineStr">
        <is>
          <t>V8.2.2</t>
        </is>
      </c>
      <c r="D9" s="21" t="inlineStr">
        <is>
          <t>Verify that the application ensures that data-specific access is restricted to consumers with explicit permissions to specific data items to mitigate insecure direct object reference (IDOR) and broken object level authorization (BOLA).</t>
        </is>
      </c>
      <c r="E9" s="22" t="n">
        <v>1</v>
      </c>
      <c r="F9" s="18" t="inlineStr">
        <is>
          <t>Compliant</t>
        </is>
      </c>
      <c r="G9" t="inlineStr">
        <is>
          <t>IDOR mitigations: every read/write on Vault, Credential and TrustedDevice is scoped by ownerId in the repository query or checked via existsByIdAndOwnerId / fingerprint ownership. IDOR negative tests exist for each aggregate.</t>
        </is>
      </c>
      <c r="H9" s="21" t="inlineStr">
        <is>
          <t>VaultServiceTest.findById_shouldThrow_whenVaultDoesNotBelongToOwner; CredentialServiceTest.create/findById/delete_shouldThrow_whenCredentialDoesNotBelongToOwner; TrustedDeviceServiceTest.findById_shouldThrowNotFound_whenCallerIsNotOwner_idorSafe</t>
        </is>
      </c>
    </row>
    <row r="10" ht="30" customHeight="1">
      <c r="A10" s="14" t="inlineStr">
        <is>
          <t>V8.2</t>
        </is>
      </c>
      <c r="B10" s="14" t="inlineStr">
        <is>
          <t>General Authorization Design</t>
        </is>
      </c>
      <c r="C10" s="15" t="inlineStr">
        <is>
          <t>V8.2.3</t>
        </is>
      </c>
      <c r="D10" s="16" t="inlineStr">
        <is>
          <t>Verify that the application ensures that field-level access is restricted to consumers with explicit permissions to specific fields to mitigate broken object property level authorization (BOPLA).</t>
        </is>
      </c>
      <c r="E10" s="17" t="n">
        <v>2</v>
      </c>
      <c r="F10" s="18" t="inlineStr">
        <is>
          <t>Compliant</t>
        </is>
      </c>
      <c r="G10" t="inlineStr">
        <is>
          <t>Response DTOs deliberately omit sensitive fields: CredentialResponse excludes encryptedPassword; UserResponse excludes the password hash. Request DTOs (records) whitelist only the fields the caller is allowed to set.</t>
        </is>
      </c>
      <c r="H10" s="16" t="inlineStr">
        <is>
          <t>CredentialResponse.java; UserResponse.java; UpdateRoleRequest.java; RegisterRequest.java</t>
        </is>
      </c>
    </row>
    <row r="11" ht="30" customHeight="1">
      <c r="A11" s="19" t="inlineStr">
        <is>
          <t>V8.2</t>
        </is>
      </c>
      <c r="B11" s="19" t="inlineStr">
        <is>
          <t>General Authorization Design</t>
        </is>
      </c>
      <c r="C11" s="20" t="inlineStr">
        <is>
          <t>V8.2.4</t>
        </is>
      </c>
      <c r="D11" s="21"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23" t="n">
        <v>3</v>
      </c>
      <c r="F11" s="18" t="inlineStr">
        <is>
          <t>Not Started</t>
        </is>
      </c>
      <c r="G11" t="inlineStr">
        <is>
          <t>Partially applicable, since Kryptos includes trusted device management and auditing features that could support contextual controls, but adaptive authentication based on factors like location or time is not explicitly described.</t>
        </is>
      </c>
      <c r="H11" s="21" t="n"/>
    </row>
    <row r="12" ht="18" customHeight="1">
      <c r="A12" s="13" t="inlineStr">
        <is>
          <t>V8.3</t>
        </is>
      </c>
      <c r="B12" s="13" t="inlineStr">
        <is>
          <t>Operation Level Authorization</t>
        </is>
      </c>
      <c r="C12" s="13" t="n"/>
      <c r="D12" s="13" t="n"/>
      <c r="E12" s="13" t="n"/>
      <c r="F12" s="13" t="n"/>
      <c r="G12" s="13" t="n"/>
      <c r="H12" s="13" t="n"/>
    </row>
    <row r="13" ht="30" customHeight="1">
      <c r="A13" s="14" t="inlineStr">
        <is>
          <t>V8.3</t>
        </is>
      </c>
      <c r="B13" s="14" t="inlineStr">
        <is>
          <t>Operation Level Authorization</t>
        </is>
      </c>
      <c r="C13" s="15" t="inlineStr">
        <is>
          <t>V8.3.1</t>
        </is>
      </c>
      <c r="D13" s="16" t="inlineStr">
        <is>
          <t>Verify that the application enforces authorization rules at a trusted service layer and doesn't rely on controls that an untrusted consumer could manipulate, such as client-side JavaScript.</t>
        </is>
      </c>
      <c r="E13" s="22" t="n">
        <v>1</v>
      </c>
      <c r="F13" s="18" t="inlineStr">
        <is>
          <t>Not Applicable</t>
        </is>
      </c>
      <c r="H13" s="16" t="n"/>
    </row>
    <row r="14" ht="30" customHeight="1">
      <c r="A14" s="19" t="inlineStr">
        <is>
          <t>V8.3</t>
        </is>
      </c>
      <c r="B14" s="19" t="inlineStr">
        <is>
          <t>Operation Level Authorization</t>
        </is>
      </c>
      <c r="C14" s="20" t="inlineStr">
        <is>
          <t>V8.3.2</t>
        </is>
      </c>
      <c r="D14" s="21"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23" t="n">
        <v>3</v>
      </c>
      <c r="F14" s="18" t="inlineStr">
        <is>
          <t>Not Started</t>
        </is>
      </c>
      <c r="G14" t="inlineStr">
        <is>
          <t>Applicable, as Kryptos relies on role-based access and sensitive credential data, requiring immediate enforcement of permission changes to prevent unauthorized actions.</t>
        </is>
      </c>
      <c r="H14" s="21" t="n"/>
    </row>
    <row r="15" ht="30" customHeight="1">
      <c r="A15" s="14" t="inlineStr">
        <is>
          <t>V8.3</t>
        </is>
      </c>
      <c r="B15" s="14" t="inlineStr">
        <is>
          <t>Operation Level Authorization</t>
        </is>
      </c>
      <c r="C15" s="15" t="inlineStr">
        <is>
          <t>V8.3.3</t>
        </is>
      </c>
      <c r="D15" s="16"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23" t="n">
        <v>3</v>
      </c>
      <c r="F15" s="18" t="inlineStr">
        <is>
          <t>Not Started</t>
        </is>
      </c>
      <c r="G15" t="inlineStr">
        <is>
          <t>Applicable, since Kryptos exposes a REST API where access to credentials and vaults must always be enforced based on the requesting user’s permissions rather than intermediary services.</t>
        </is>
      </c>
      <c r="H15" s="16" t="n"/>
    </row>
    <row r="16" ht="18" customHeight="1">
      <c r="A16" s="13" t="inlineStr">
        <is>
          <t>V8.4</t>
        </is>
      </c>
      <c r="B16" s="13" t="inlineStr">
        <is>
          <t>Other Authorization Considerations</t>
        </is>
      </c>
      <c r="C16" s="13" t="n"/>
      <c r="D16" s="13" t="n"/>
      <c r="E16" s="13" t="n"/>
      <c r="F16" s="13" t="n"/>
      <c r="G16" s="13" t="n"/>
      <c r="H16" s="13" t="n"/>
    </row>
    <row r="17" ht="30" customHeight="1">
      <c r="A17" s="14" t="inlineStr">
        <is>
          <t>V8.4</t>
        </is>
      </c>
      <c r="B17" s="14" t="inlineStr">
        <is>
          <t>Other Authorization Considerations</t>
        </is>
      </c>
      <c r="C17" s="15" t="inlineStr">
        <is>
          <t>V8.4.1</t>
        </is>
      </c>
      <c r="D17" s="16" t="inlineStr">
        <is>
          <t>Verify that multi-tenant applications use cross-tenant controls to ensure consumer operations will never affect tenants with which they do not have permissions to interact.</t>
        </is>
      </c>
      <c r="E17" s="17" t="n">
        <v>2</v>
      </c>
      <c r="F17" s="18" t="inlineStr">
        <is>
          <t>Not Applicable</t>
        </is>
      </c>
      <c r="G17" s="16" t="n"/>
      <c r="H17" s="16" t="n"/>
    </row>
    <row r="18" ht="30" customHeight="1">
      <c r="A18" s="19" t="inlineStr">
        <is>
          <t>V8.4</t>
        </is>
      </c>
      <c r="B18" s="19" t="inlineStr">
        <is>
          <t>Other Authorization Considerations</t>
        </is>
      </c>
      <c r="C18" s="20" t="inlineStr">
        <is>
          <t>V8.4.2</t>
        </is>
      </c>
      <c r="D18" s="21"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23" t="n">
        <v>3</v>
      </c>
      <c r="F18" s="18" t="inlineStr">
        <is>
          <t>Not Applicable</t>
        </is>
      </c>
      <c r="G18" s="21" t="n"/>
      <c r="H18" s="21" t="n"/>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0.xml><?xml version="1.0" encoding="utf-8"?>
<worksheet xmlns="http://schemas.openxmlformats.org/spreadsheetml/2006/main">
  <sheetPr>
    <outlinePr summaryBelow="1" summaryRight="1"/>
    <pageSetUpPr/>
  </sheetPr>
  <dimension ref="A1:H10"/>
  <sheetViews>
    <sheetView zoomScale="125" zoomScaleNormal="75" workbookViewId="0">
      <pane ySplit="1" topLeftCell="A2" activePane="bottomLeft" state="frozen"/>
      <selection pane="bottomLeft" activeCell="G21" sqref="G21"/>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V9.1</t>
        </is>
      </c>
      <c r="B2" s="13" t="inlineStr">
        <is>
          <t>Token source and integrity</t>
        </is>
      </c>
      <c r="C2" s="13" t="n"/>
      <c r="D2" s="13" t="n"/>
      <c r="E2" s="13" t="n"/>
      <c r="F2" s="13" t="n"/>
      <c r="G2" s="13" t="n"/>
      <c r="H2" s="13" t="n"/>
    </row>
    <row r="3" ht="56" customHeight="1">
      <c r="A3" s="14" t="inlineStr">
        <is>
          <t>V9.1</t>
        </is>
      </c>
      <c r="B3" s="14" t="inlineStr">
        <is>
          <t>Token source and integrity</t>
        </is>
      </c>
      <c r="C3" s="15" t="inlineStr">
        <is>
          <t>V9.1.1</t>
        </is>
      </c>
      <c r="D3" s="16" t="inlineStr">
        <is>
          <t>Verify that self-contained tokens are validated using their digital signature or MAC to protect against tampering before accepting the token's contents.</t>
        </is>
      </c>
      <c r="E3" s="22" t="n">
        <v>1</v>
      </c>
      <c r="F3" s="18" t="inlineStr">
        <is>
          <t>Compliant</t>
        </is>
      </c>
      <c r="G3" s="16" t="inlineStr">
        <is>
          <t>Token signatures are verified before payload is accepted (Jwts.parser().verifyWith(getSigningKey()).build().parseSignedClaims). Tampered tokens are rejected.</t>
        </is>
      </c>
      <c r="H3" s="16" t="inlineStr">
        <is>
          <t>JwtService.extractAllClaims; JwtServiceTest.isTokenValid_shouldReturnFalse_forTamperedToken</t>
        </is>
      </c>
    </row>
    <row r="4" ht="55" customHeight="1">
      <c r="A4" s="19" t="inlineStr">
        <is>
          <t>V9.1</t>
        </is>
      </c>
      <c r="B4" s="19" t="inlineStr">
        <is>
          <t>Token source and integrity</t>
        </is>
      </c>
      <c r="C4" s="20" t="inlineStr">
        <is>
          <t>V9.1.2</t>
        </is>
      </c>
      <c r="D4" s="21"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22" t="n">
        <v>1</v>
      </c>
      <c r="F4" s="18" t="inlineStr">
        <is>
          <t>Compliant</t>
        </is>
      </c>
      <c r="G4" s="21" t="inlineStr">
        <is>
          <t>Only HS256 is used (Jwts.SIG.HS256). jjwt 0.12.6 rejects alg=none by default; an explicit allowlist test is in JwtServiceTest (garbage/tampered token rejection).</t>
        </is>
      </c>
      <c r="H4" s="21" t="inlineStr">
        <is>
          <t>JwtService.generateToken; pom.xml#jjwt 0.12.6</t>
        </is>
      </c>
    </row>
    <row r="5" ht="61" customHeight="1">
      <c r="A5" s="14" t="inlineStr">
        <is>
          <t>V9.1</t>
        </is>
      </c>
      <c r="B5" s="14" t="inlineStr">
        <is>
          <t>Token source and integrity</t>
        </is>
      </c>
      <c r="C5" s="15" t="inlineStr">
        <is>
          <t>V9.1.3</t>
        </is>
      </c>
      <c r="D5" s="16"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22" t="n">
        <v>1</v>
      </c>
      <c r="F5" s="18" t="inlineStr">
        <is>
          <t>Compliant</t>
        </is>
      </c>
      <c r="G5" s="16" t="inlineStr">
        <is>
          <t>The signing key is derived only from JWT_SECRET (env variable, GitHub repo secret in CI). JwtService.getSigningKey rejects secrets shorter than 32 bytes (IllegalStateException).</t>
        </is>
      </c>
      <c r="H5" s="16" t="inlineStr">
        <is>
          <t>JwtService.getSigningKey; JwtServiceTest.constructor_shouldThrow_whenSecretIsTooShort</t>
        </is>
      </c>
    </row>
    <row r="6" ht="18" customHeight="1">
      <c r="A6" s="13" t="inlineStr">
        <is>
          <t>V9.2</t>
        </is>
      </c>
      <c r="B6" s="13" t="inlineStr">
        <is>
          <t>Token content</t>
        </is>
      </c>
      <c r="C6" s="13" t="n"/>
      <c r="D6" s="13" t="n"/>
      <c r="E6" s="13" t="n"/>
      <c r="F6" s="13" t="n"/>
      <c r="G6" s="13" t="n"/>
      <c r="H6" s="13" t="n"/>
    </row>
    <row r="7" ht="63" customHeight="1">
      <c r="A7" s="14" t="inlineStr">
        <is>
          <t>V9.2</t>
        </is>
      </c>
      <c r="B7" s="14" t="inlineStr">
        <is>
          <t>Token content</t>
        </is>
      </c>
      <c r="C7" s="15" t="inlineStr">
        <is>
          <t>V9.2.1</t>
        </is>
      </c>
      <c r="D7" s="16" t="inlineStr">
        <is>
          <t>Verify that, if a validity time span is present in the token data, the token and its content are accepted only if the verification time is within this validity time span. For example, for JWTs, the claims 'nbf' and 'exp' must be verified.</t>
        </is>
      </c>
      <c r="E7" s="22" t="n">
        <v>1</v>
      </c>
      <c r="F7" s="18" t="inlineStr">
        <is>
          <t>Compliant</t>
        </is>
      </c>
      <c r="G7" s="16" t="inlineStr">
        <is>
          <t>JwtService.isTokenExpired enforces the exp claim against System.currentTimeMillis(); expired tokens are rejected.</t>
        </is>
      </c>
      <c r="H7" s="16" t="inlineStr">
        <is>
          <t>JwtService.isTokenExpired; JwtServiceTest.isTokenValid_shouldReturnFalse_forExpiredToken</t>
        </is>
      </c>
    </row>
    <row r="8" ht="57" customHeight="1">
      <c r="A8" s="19" t="inlineStr">
        <is>
          <t>V9.2</t>
        </is>
      </c>
      <c r="B8" s="19" t="inlineStr">
        <is>
          <t>Token content</t>
        </is>
      </c>
      <c r="C8" s="20" t="inlineStr">
        <is>
          <t>V9.2.2</t>
        </is>
      </c>
      <c r="D8" s="21"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17" t="n">
        <v>2</v>
      </c>
      <c r="F8" s="18" t="inlineStr">
        <is>
          <t>Not Started</t>
        </is>
      </c>
      <c r="G8" s="21" t="inlineStr">
        <is>
          <t>Applicable to Kryptos due to the need to distinguish access tokens from refresh tokens so that each is accepted only for its intended purpose.</t>
        </is>
      </c>
      <c r="H8" s="21" t="n"/>
    </row>
    <row r="9" ht="37" customHeight="1">
      <c r="A9" s="14" t="inlineStr">
        <is>
          <t>V9.2</t>
        </is>
      </c>
      <c r="B9" s="14" t="inlineStr">
        <is>
          <t>Token content</t>
        </is>
      </c>
      <c r="C9" s="15" t="inlineStr">
        <is>
          <t>V9.2.3</t>
        </is>
      </c>
      <c r="D9" s="16" t="inlineStr">
        <is>
          <t>Verify that the service only accepts tokens which are intended for use with that service (audience). For JWTs, this can be achieved by validating the 'aud' claim against an allowlist defined in the service.</t>
        </is>
      </c>
      <c r="E9" s="17" t="n">
        <v>2</v>
      </c>
      <c r="F9" s="18" t="inlineStr">
        <is>
          <t>Not Started</t>
        </is>
      </c>
      <c r="G9" s="16" t="inlineStr">
        <is>
          <t>Applicable to Kryptos due to the need to accept only tokens whose aud claim targets the Kryptos API.</t>
        </is>
      </c>
      <c r="H9" s="16" t="n"/>
    </row>
    <row r="10" ht="30" customHeight="1">
      <c r="A10" s="19" t="inlineStr">
        <is>
          <t>V9.2</t>
        </is>
      </c>
      <c r="B10" s="19" t="inlineStr">
        <is>
          <t>Token content</t>
        </is>
      </c>
      <c r="C10" s="20" t="inlineStr">
        <is>
          <t>V9.2.4</t>
        </is>
      </c>
      <c r="D10" s="21"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17" t="n">
        <v>2</v>
      </c>
      <c r="F10" s="18" t="inlineStr">
        <is>
          <t>Not Applicable</t>
        </is>
      </c>
      <c r="G10" s="21" t="n"/>
      <c r="H10" s="21" t="n"/>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1.xml><?xml version="1.0" encoding="utf-8"?>
<worksheet xmlns="http://schemas.openxmlformats.org/spreadsheetml/2006/main">
  <sheetPr filterMode="1">
    <outlinePr summaryBelow="1" summaryRight="1"/>
    <pageSetUpPr/>
  </sheetPr>
  <dimension ref="A1:H44"/>
  <sheetViews>
    <sheetView zoomScale="139" zoomScaleNormal="75" workbookViewId="0">
      <pane ySplit="1" topLeftCell="A2" activePane="bottomLeft" state="frozen"/>
      <selection pane="bottomLeft" activeCell="D47" sqref="D47"/>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V10.1</t>
        </is>
      </c>
      <c r="B2" s="13" t="inlineStr">
        <is>
          <t>Generic OAuth and OIDC Security</t>
        </is>
      </c>
      <c r="C2" s="13" t="n"/>
      <c r="D2" s="13" t="n"/>
      <c r="E2" s="13" t="n"/>
      <c r="F2" s="13" t="n"/>
      <c r="G2" s="13" t="n"/>
      <c r="H2" s="13" t="n"/>
    </row>
    <row r="3" hidden="1" ht="30" customHeight="1">
      <c r="A3" s="14" t="inlineStr">
        <is>
          <t>V10.1</t>
        </is>
      </c>
      <c r="B3" s="14" t="inlineStr">
        <is>
          <t>Generic OAuth and OIDC Security</t>
        </is>
      </c>
      <c r="C3" s="15" t="inlineStr">
        <is>
          <t>V10.1.1</t>
        </is>
      </c>
      <c r="D3" s="16" t="inlineStr">
        <is>
          <t>Verify that tokens are only sent to components that strictly need them. For example, when using a backend-for-frontend pattern for browser-based JavaScript applications, access and refresh tokens shall only be accessible for the backend.</t>
        </is>
      </c>
      <c r="E3" s="17" t="n">
        <v>2</v>
      </c>
      <c r="F3" s="18" t="inlineStr">
        <is>
          <t>Not Applicable</t>
        </is>
      </c>
      <c r="G3" s="16" t="n"/>
      <c r="H3" s="16" t="n"/>
    </row>
    <row r="4" hidden="1" ht="110" customHeight="1">
      <c r="A4" s="19" t="inlineStr">
        <is>
          <t>V10.1</t>
        </is>
      </c>
      <c r="B4" s="19" t="inlineStr">
        <is>
          <t>Generic OAuth and OIDC Security</t>
        </is>
      </c>
      <c r="C4" s="20" t="inlineStr">
        <is>
          <t>V10.1.2</t>
        </is>
      </c>
      <c r="D4" s="21"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17" t="n">
        <v>2</v>
      </c>
      <c r="F4" s="18" t="inlineStr">
        <is>
          <t>Not Applicable</t>
        </is>
      </c>
      <c r="G4" s="21" t="n"/>
      <c r="H4" s="21" t="n"/>
    </row>
    <row r="5" ht="18" customHeight="1">
      <c r="A5" s="13" t="inlineStr">
        <is>
          <t>V10.2</t>
        </is>
      </c>
      <c r="B5" s="13" t="inlineStr">
        <is>
          <t>OAuth Client</t>
        </is>
      </c>
      <c r="C5" s="13" t="n"/>
      <c r="D5" s="13" t="n"/>
      <c r="E5" s="13" t="n"/>
      <c r="F5" s="13" t="n"/>
      <c r="G5" s="13" t="n"/>
      <c r="H5" s="13" t="n"/>
    </row>
    <row r="6" hidden="1" ht="30" customHeight="1">
      <c r="A6" s="14" t="inlineStr">
        <is>
          <t>V10.2</t>
        </is>
      </c>
      <c r="B6" s="14" t="inlineStr">
        <is>
          <t>OAuth Client</t>
        </is>
      </c>
      <c r="C6" s="15" t="inlineStr">
        <is>
          <t>V10.2.1</t>
        </is>
      </c>
      <c r="D6" s="16"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17" t="n">
        <v>2</v>
      </c>
      <c r="F6" s="18" t="inlineStr">
        <is>
          <t>Not Applicable</t>
        </is>
      </c>
      <c r="G6" s="16" t="n"/>
      <c r="H6" s="16" t="n"/>
    </row>
    <row r="7" hidden="1" ht="67" customHeight="1">
      <c r="A7" s="19" t="inlineStr">
        <is>
          <t>V10.2</t>
        </is>
      </c>
      <c r="B7" s="19" t="inlineStr">
        <is>
          <t>OAuth Client</t>
        </is>
      </c>
      <c r="C7" s="20" t="inlineStr">
        <is>
          <t>V10.2.2</t>
        </is>
      </c>
      <c r="D7" s="21"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17" t="n">
        <v>2</v>
      </c>
      <c r="F7" s="18" t="inlineStr">
        <is>
          <t>Not Applicable</t>
        </is>
      </c>
      <c r="G7" s="21" t="n"/>
      <c r="H7" s="21" t="n"/>
    </row>
    <row r="8" hidden="1" ht="30" customHeight="1">
      <c r="A8" s="14" t="inlineStr">
        <is>
          <t>V10.2</t>
        </is>
      </c>
      <c r="B8" s="14" t="inlineStr">
        <is>
          <t>OAuth Client</t>
        </is>
      </c>
      <c r="C8" s="15" t="inlineStr">
        <is>
          <t>V10.2.3</t>
        </is>
      </c>
      <c r="D8" s="16" t="inlineStr">
        <is>
          <t>Verify that the OAuth client only requests the required scopes (or other authorization parameters) in requests to the authorization server.</t>
        </is>
      </c>
      <c r="E8" s="23" t="n">
        <v>3</v>
      </c>
      <c r="F8" s="18" t="inlineStr">
        <is>
          <t>Not Applicable</t>
        </is>
      </c>
      <c r="G8" s="16" t="n"/>
      <c r="H8" s="16" t="n"/>
    </row>
    <row r="9" ht="18" customHeight="1">
      <c r="A9" s="13" t="inlineStr">
        <is>
          <t>V10.3</t>
        </is>
      </c>
      <c r="B9" s="13" t="inlineStr">
        <is>
          <t>OAuth Resource Server</t>
        </is>
      </c>
      <c r="C9" s="13" t="n"/>
      <c r="D9" s="13" t="n"/>
      <c r="E9" s="13" t="n"/>
      <c r="F9" s="13" t="n"/>
      <c r="G9" s="13" t="n"/>
      <c r="H9" s="13" t="n"/>
    </row>
    <row r="10" hidden="1" ht="68" customHeight="1">
      <c r="A10" s="14" t="inlineStr">
        <is>
          <t>V10.3</t>
        </is>
      </c>
      <c r="B10" s="14" t="inlineStr">
        <is>
          <t>OAuth Resource Server</t>
        </is>
      </c>
      <c r="C10" s="15" t="inlineStr">
        <is>
          <t>V10.3.1</t>
        </is>
      </c>
      <c r="D10" s="16"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17" t="n">
        <v>2</v>
      </c>
      <c r="F10" s="18" t="inlineStr">
        <is>
          <t>Not Applicable</t>
        </is>
      </c>
      <c r="G10" s="16" t="n"/>
      <c r="H10" s="16" t="n"/>
    </row>
    <row r="11" ht="52" customHeight="1">
      <c r="A11" s="19" t="inlineStr">
        <is>
          <t>V10.3</t>
        </is>
      </c>
      <c r="B11" s="19" t="inlineStr">
        <is>
          <t>OAuth Resource Server</t>
        </is>
      </c>
      <c r="C11" s="20" t="inlineStr">
        <is>
          <t>V10.3.2</t>
        </is>
      </c>
      <c r="D11" s="21" t="inlineStr">
        <is>
          <t>Verify that the resource server enforces authorization decisions based on claims from the access token that define delegated authorization. If claims such as 'sub', 'scope', and 'authorization_details' are present, they must be part of the decision.</t>
        </is>
      </c>
      <c r="E11" s="17" t="n">
        <v>2</v>
      </c>
      <c r="F11" s="18" t="inlineStr">
        <is>
          <t>Not Started</t>
        </is>
      </c>
      <c r="G11" s="26" t="inlineStr">
        <is>
          <t>Applicable to Kryptos due to the use of JWT claims for authorization decisions.</t>
        </is>
      </c>
      <c r="H11" s="21" t="n"/>
    </row>
    <row r="12" hidden="1" ht="64" customHeight="1">
      <c r="A12" s="14" t="inlineStr">
        <is>
          <t>V10.3</t>
        </is>
      </c>
      <c r="B12" s="14" t="inlineStr">
        <is>
          <t>OAuth Resource Server</t>
        </is>
      </c>
      <c r="C12" s="15" t="inlineStr">
        <is>
          <t>V10.3.3</t>
        </is>
      </c>
      <c r="D12" s="16"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17" t="n">
        <v>2</v>
      </c>
      <c r="F12" s="18" t="inlineStr">
        <is>
          <t>Not Applicable</t>
        </is>
      </c>
      <c r="G12" s="16" t="n"/>
      <c r="H12" s="16" t="n"/>
    </row>
    <row r="13" hidden="1" ht="67" customHeight="1">
      <c r="A13" s="19" t="inlineStr">
        <is>
          <t>V10.3</t>
        </is>
      </c>
      <c r="B13" s="19" t="inlineStr">
        <is>
          <t>OAuth Resource Server</t>
        </is>
      </c>
      <c r="C13" s="20" t="inlineStr">
        <is>
          <t>V10.3.4</t>
        </is>
      </c>
      <c r="D13" s="21"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17" t="n">
        <v>2</v>
      </c>
      <c r="F13" s="18" t="inlineStr">
        <is>
          <t>Not Applicable</t>
        </is>
      </c>
      <c r="G13" s="21" t="n"/>
      <c r="H13" s="21" t="n"/>
    </row>
    <row r="14" hidden="1" ht="60" customHeight="1">
      <c r="A14" s="14" t="inlineStr">
        <is>
          <t>V10.3</t>
        </is>
      </c>
      <c r="B14" s="14" t="inlineStr">
        <is>
          <t>OAuth Resource Server</t>
        </is>
      </c>
      <c r="C14" s="15" t="inlineStr">
        <is>
          <t>V10.3.5</t>
        </is>
      </c>
      <c r="D14" s="16"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23" t="n">
        <v>3</v>
      </c>
      <c r="F14" s="18" t="inlineStr">
        <is>
          <t>Not Applicable</t>
        </is>
      </c>
      <c r="G14" s="16" t="n"/>
      <c r="H14" s="16" t="n"/>
    </row>
    <row r="15" ht="18" customHeight="1">
      <c r="A15" s="13" t="inlineStr">
        <is>
          <t>V10.4</t>
        </is>
      </c>
      <c r="B15" s="13" t="inlineStr">
        <is>
          <t>OAuth Authorization Server</t>
        </is>
      </c>
      <c r="C15" s="13" t="n"/>
      <c r="D15" s="13" t="n"/>
      <c r="E15" s="13" t="n"/>
      <c r="F15" s="13" t="n"/>
      <c r="G15" s="13" t="n"/>
      <c r="H15" s="13" t="n"/>
    </row>
    <row r="16" hidden="1" ht="30" customHeight="1">
      <c r="A16" s="14" t="inlineStr">
        <is>
          <t>V10.4</t>
        </is>
      </c>
      <c r="B16" s="14" t="inlineStr">
        <is>
          <t>OAuth Authorization Server</t>
        </is>
      </c>
      <c r="C16" s="15" t="inlineStr">
        <is>
          <t>V10.4.1</t>
        </is>
      </c>
      <c r="D16" s="16" t="inlineStr">
        <is>
          <t>Verify that the authorization server validates redirect URIs based on a client-specific allowlist of pre-registered URIs using exact string comparison.</t>
        </is>
      </c>
      <c r="E16" s="22" t="n">
        <v>1</v>
      </c>
      <c r="F16" s="18" t="inlineStr">
        <is>
          <t>Not Applicable</t>
        </is>
      </c>
      <c r="G16" s="16" t="n"/>
      <c r="H16" s="16" t="n"/>
    </row>
    <row r="17" hidden="1" ht="30" customHeight="1">
      <c r="A17" s="19" t="inlineStr">
        <is>
          <t>V10.4</t>
        </is>
      </c>
      <c r="B17" s="19" t="inlineStr">
        <is>
          <t>OAuth Authorization Server</t>
        </is>
      </c>
      <c r="C17" s="20" t="inlineStr">
        <is>
          <t>V10.4.2</t>
        </is>
      </c>
      <c r="D17" s="21"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22" t="n">
        <v>1</v>
      </c>
      <c r="F17" s="18" t="inlineStr">
        <is>
          <t>Not Applicable</t>
        </is>
      </c>
      <c r="G17" s="21" t="n"/>
      <c r="H17" s="21" t="n"/>
    </row>
    <row r="18" ht="45" customHeight="1">
      <c r="A18" s="14" t="inlineStr">
        <is>
          <t>V10.4</t>
        </is>
      </c>
      <c r="B18" s="14" t="inlineStr">
        <is>
          <t>OAuth Authorization Server</t>
        </is>
      </c>
      <c r="C18" s="15" t="inlineStr">
        <is>
          <t>V10.4.3</t>
        </is>
      </c>
      <c r="D18" s="16" t="inlineStr">
        <is>
          <t>Verify that the authorization code is short-lived. The maximum lifetime can be up to 10 minutes for L1 and L2 applications and up to 1 minute for L3 applications.</t>
        </is>
      </c>
      <c r="E18" s="22" t="n">
        <v>1</v>
      </c>
      <c r="F18" s="18" t="inlineStr">
        <is>
          <t>Not Started</t>
        </is>
      </c>
      <c r="G18" s="16" t="inlineStr">
        <is>
          <t>Applicable to Kryptos due to the presence of short-lived activation and password-reset codes.</t>
        </is>
      </c>
      <c r="H18" s="16" t="n"/>
    </row>
    <row r="19" hidden="1" ht="30" customHeight="1">
      <c r="A19" s="19" t="inlineStr">
        <is>
          <t>V10.4</t>
        </is>
      </c>
      <c r="B19" s="19" t="inlineStr">
        <is>
          <t>OAuth Authorization Server</t>
        </is>
      </c>
      <c r="C19" s="20" t="inlineStr">
        <is>
          <t>V10.4.4</t>
        </is>
      </c>
      <c r="D19" s="21" t="inlineStr">
        <is>
          <t>Verify that for a given client, the authorization server only allows the usage of grants that this client needs to use. Note that the grants 'token' (Implicit flow) and 'password' (Resource Owner Password Credentials flow) must no longer be used.</t>
        </is>
      </c>
      <c r="E19" s="22" t="n">
        <v>1</v>
      </c>
      <c r="F19" s="18" t="inlineStr">
        <is>
          <t>Not Applicable</t>
        </is>
      </c>
      <c r="G19" s="21" t="n"/>
      <c r="H19" s="21" t="n"/>
    </row>
    <row r="20" ht="44" customHeight="1">
      <c r="A20" s="14" t="inlineStr">
        <is>
          <t>V10.4</t>
        </is>
      </c>
      <c r="B20" s="14" t="inlineStr">
        <is>
          <t>OAuth Authorization Server</t>
        </is>
      </c>
      <c r="C20" s="15" t="inlineStr">
        <is>
          <t>V10.4.5</t>
        </is>
      </c>
      <c r="D20" s="16"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22" t="n">
        <v>1</v>
      </c>
      <c r="F20" s="18" t="inlineStr">
        <is>
          <t>Not Started</t>
        </is>
      </c>
      <c r="G20" s="16" t="inlineStr">
        <is>
          <t>Applicable to Kryptos due to the use of refresh tokens that must resist replay.</t>
        </is>
      </c>
      <c r="H20" s="16" t="n"/>
    </row>
    <row r="21" hidden="1" ht="30" customHeight="1">
      <c r="A21" s="19" t="inlineStr">
        <is>
          <t>V10.4</t>
        </is>
      </c>
      <c r="B21" s="19" t="inlineStr">
        <is>
          <t>OAuth Authorization Server</t>
        </is>
      </c>
      <c r="C21" s="20" t="inlineStr">
        <is>
          <t>V10.4.6</t>
        </is>
      </c>
      <c r="D21" s="21"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17" t="n">
        <v>2</v>
      </c>
      <c r="F21" s="18" t="inlineStr">
        <is>
          <t>Not Applicable</t>
        </is>
      </c>
      <c r="G21" s="21" t="n"/>
      <c r="H21" s="21" t="n"/>
    </row>
    <row r="22" hidden="1" ht="30" customHeight="1">
      <c r="A22" s="14" t="inlineStr">
        <is>
          <t>V10.4</t>
        </is>
      </c>
      <c r="B22" s="14" t="inlineStr">
        <is>
          <t>OAuth Authorization Server</t>
        </is>
      </c>
      <c r="C22" s="15" t="inlineStr">
        <is>
          <t>V10.4.7</t>
        </is>
      </c>
      <c r="D22" s="16"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17" t="n">
        <v>2</v>
      </c>
      <c r="F22" s="18" t="inlineStr">
        <is>
          <t>Not Applicable</t>
        </is>
      </c>
      <c r="G22" s="16" t="n"/>
      <c r="H22" s="16" t="n"/>
    </row>
    <row r="23" ht="44" customHeight="1">
      <c r="A23" s="19" t="inlineStr">
        <is>
          <t>V10.4</t>
        </is>
      </c>
      <c r="B23" s="19" t="inlineStr">
        <is>
          <t>OAuth Authorization Server</t>
        </is>
      </c>
      <c r="C23" s="20" t="inlineStr">
        <is>
          <t>V10.4.8</t>
        </is>
      </c>
      <c r="D23" s="21" t="inlineStr">
        <is>
          <t>Verify that refresh tokens have an absolute expiration, including if sliding refresh token expiration is applied.</t>
        </is>
      </c>
      <c r="E23" s="17" t="n">
        <v>2</v>
      </c>
      <c r="F23" s="18" t="inlineStr">
        <is>
          <t>Not Started</t>
        </is>
      </c>
      <c r="G23" s="21" t="inlineStr">
        <is>
          <t>Applicable to Kryptos due to the long-lived nature of refresh tokens requiring an absolute expiration.</t>
        </is>
      </c>
      <c r="H23" s="21" t="n"/>
    </row>
    <row r="24" ht="46" customHeight="1">
      <c r="A24" s="14" t="inlineStr">
        <is>
          <t>V10.4</t>
        </is>
      </c>
      <c r="B24" s="14" t="inlineStr">
        <is>
          <t>OAuth Authorization Server</t>
        </is>
      </c>
      <c r="C24" s="15" t="inlineStr">
        <is>
          <t>V10.4.9</t>
        </is>
      </c>
      <c r="D24" s="16" t="inlineStr">
        <is>
          <t>Verify that refresh tokens and reference access tokens can be revoked by an authorized user using the authorization server user interface, to mitigate the risk of malicious clients or stolen tokens.</t>
        </is>
      </c>
      <c r="E24" s="17" t="n">
        <v>2</v>
      </c>
      <c r="F24" s="18" t="inlineStr">
        <is>
          <t>Not Started</t>
        </is>
      </c>
      <c r="G24" s="16" t="inlineStr">
        <is>
          <t xml:space="preserve">Applicable to Kryptos due to the need to revoke active tokens through administrative actions.
</t>
        </is>
      </c>
      <c r="H24" s="16" t="n"/>
    </row>
    <row r="25" hidden="1" ht="30" customHeight="1">
      <c r="A25" s="19" t="inlineStr">
        <is>
          <t>V10.4</t>
        </is>
      </c>
      <c r="B25" s="19" t="inlineStr">
        <is>
          <t>OAuth Authorization Server</t>
        </is>
      </c>
      <c r="C25" s="20" t="inlineStr">
        <is>
          <t>V10.4.10</t>
        </is>
      </c>
      <c r="D25" s="21" t="inlineStr">
        <is>
          <t>Verify that confidential client is authenticated for client-to-authorized server backchannel requests such as token requests, pushed authorization requests (PAR), and token revocation requests.</t>
        </is>
      </c>
      <c r="E25" s="17" t="n">
        <v>2</v>
      </c>
      <c r="F25" s="18" t="inlineStr">
        <is>
          <t>Not Applicable</t>
        </is>
      </c>
      <c r="G25" s="21" t="n"/>
      <c r="H25" s="21" t="n"/>
    </row>
    <row r="26" hidden="1" ht="30" customHeight="1">
      <c r="A26" s="14" t="inlineStr">
        <is>
          <t>V10.4</t>
        </is>
      </c>
      <c r="B26" s="14" t="inlineStr">
        <is>
          <t>OAuth Authorization Server</t>
        </is>
      </c>
      <c r="C26" s="15" t="inlineStr">
        <is>
          <t>V10.4.11</t>
        </is>
      </c>
      <c r="D26" s="16" t="inlineStr">
        <is>
          <t>Verify that the authorization server configuration only assigns the required scopes to the OAuth client.</t>
        </is>
      </c>
      <c r="E26" s="17" t="n">
        <v>2</v>
      </c>
      <c r="F26" s="18" t="inlineStr">
        <is>
          <t>Not Applicable</t>
        </is>
      </c>
      <c r="G26" s="16" t="n"/>
      <c r="H26" s="16" t="n"/>
    </row>
    <row r="27" hidden="1" ht="30" customHeight="1">
      <c r="A27" s="19" t="inlineStr">
        <is>
          <t>V10.4</t>
        </is>
      </c>
      <c r="B27" s="19" t="inlineStr">
        <is>
          <t>OAuth Authorization Server</t>
        </is>
      </c>
      <c r="C27" s="20" t="inlineStr">
        <is>
          <t>V10.4.12</t>
        </is>
      </c>
      <c r="D27" s="21"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23" t="n">
        <v>3</v>
      </c>
      <c r="F27" s="18" t="inlineStr">
        <is>
          <t>Not Applicable</t>
        </is>
      </c>
      <c r="G27" s="21" t="n"/>
      <c r="H27" s="21" t="n"/>
    </row>
    <row r="28" hidden="1" ht="30" customHeight="1">
      <c r="A28" s="14" t="inlineStr">
        <is>
          <t>V10.4</t>
        </is>
      </c>
      <c r="B28" s="14" t="inlineStr">
        <is>
          <t>OAuth Authorization Server</t>
        </is>
      </c>
      <c r="C28" s="15" t="inlineStr">
        <is>
          <t>V10.4.13</t>
        </is>
      </c>
      <c r="D28" s="16" t="inlineStr">
        <is>
          <t>Verify that grant type 'code' is always used together with pushed authorization requests (PAR).</t>
        </is>
      </c>
      <c r="E28" s="23" t="n">
        <v>3</v>
      </c>
      <c r="F28" s="18" t="inlineStr">
        <is>
          <t>Not Applicable</t>
        </is>
      </c>
      <c r="G28" s="16" t="n"/>
      <c r="H28" s="16" t="n"/>
    </row>
    <row r="29" hidden="1" ht="30" customHeight="1">
      <c r="A29" s="19" t="inlineStr">
        <is>
          <t>V10.4</t>
        </is>
      </c>
      <c r="B29" s="19" t="inlineStr">
        <is>
          <t>OAuth Authorization Server</t>
        </is>
      </c>
      <c r="C29" s="20" t="inlineStr">
        <is>
          <t>V10.4.14</t>
        </is>
      </c>
      <c r="D29" s="21" t="inlineStr">
        <is>
          <t>Verify that the authorization server issues only sender-constrained (Proof-of-Possession) access tokens, either with certificate-bound access tokens using mutual TLS (mTLS) or DPoP-bound access tokens (Demonstration of Proof of Possession).</t>
        </is>
      </c>
      <c r="E29" s="23" t="n">
        <v>3</v>
      </c>
      <c r="F29" s="18" t="inlineStr">
        <is>
          <t>Not Applicable</t>
        </is>
      </c>
      <c r="G29" s="21" t="n"/>
      <c r="H29" s="21" t="n"/>
    </row>
    <row r="30" hidden="1" ht="30" customHeight="1">
      <c r="A30" s="14" t="inlineStr">
        <is>
          <t>V10.4</t>
        </is>
      </c>
      <c r="B30" s="14" t="inlineStr">
        <is>
          <t>OAuth Authorization Server</t>
        </is>
      </c>
      <c r="C30" s="15" t="inlineStr">
        <is>
          <t>V10.4.15</t>
        </is>
      </c>
      <c r="D30" s="16"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23" t="n">
        <v>3</v>
      </c>
      <c r="F30" s="18" t="inlineStr">
        <is>
          <t>Not Applicable</t>
        </is>
      </c>
      <c r="G30" s="16" t="n"/>
      <c r="H30" s="16" t="n"/>
    </row>
    <row r="31" hidden="1" ht="30" customHeight="1">
      <c r="A31" s="19" t="inlineStr">
        <is>
          <t>V10.4</t>
        </is>
      </c>
      <c r="B31" s="19" t="inlineStr">
        <is>
          <t>OAuth Authorization Server</t>
        </is>
      </c>
      <c r="C31" s="20" t="inlineStr">
        <is>
          <t>V10.4.16</t>
        </is>
      </c>
      <c r="D31" s="21"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23" t="n">
        <v>3</v>
      </c>
      <c r="F31" s="18" t="inlineStr">
        <is>
          <t>Not Applicable</t>
        </is>
      </c>
      <c r="G31" s="21" t="n"/>
      <c r="H31" s="21" t="n"/>
    </row>
    <row r="32" ht="18" customHeight="1">
      <c r="A32" s="13" t="inlineStr">
        <is>
          <t>V10.5</t>
        </is>
      </c>
      <c r="B32" s="13" t="inlineStr">
        <is>
          <t>OIDC Client</t>
        </is>
      </c>
      <c r="C32" s="13" t="n"/>
      <c r="D32" s="13" t="n"/>
      <c r="E32" s="13" t="n"/>
      <c r="F32" s="13" t="n"/>
      <c r="G32" s="13" t="n"/>
      <c r="H32" s="13" t="n"/>
    </row>
    <row r="33" hidden="1" ht="30" customHeight="1">
      <c r="A33" s="14" t="inlineStr">
        <is>
          <t>V10.5</t>
        </is>
      </c>
      <c r="B33" s="14" t="inlineStr">
        <is>
          <t>OIDC Client</t>
        </is>
      </c>
      <c r="C33" s="15" t="inlineStr">
        <is>
          <t>V10.5.1</t>
        </is>
      </c>
      <c r="D33" s="16"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17" t="n">
        <v>2</v>
      </c>
      <c r="F33" s="18" t="inlineStr">
        <is>
          <t>Not Applicable</t>
        </is>
      </c>
      <c r="G33" s="16" t="n"/>
      <c r="H33" s="16" t="n"/>
    </row>
    <row r="34" hidden="1" ht="30" customHeight="1">
      <c r="A34" s="19" t="inlineStr">
        <is>
          <t>V10.5</t>
        </is>
      </c>
      <c r="B34" s="19" t="inlineStr">
        <is>
          <t>OIDC Client</t>
        </is>
      </c>
      <c r="C34" s="20" t="inlineStr">
        <is>
          <t>V10.5.2</t>
        </is>
      </c>
      <c r="D34" s="21" t="inlineStr">
        <is>
          <t>Verify that the client uniquely identifies the user from ID Token claims, usually the 'sub' claim, which cannot be reassigned to other users (for the scope of an identity provider).</t>
        </is>
      </c>
      <c r="E34" s="17" t="n">
        <v>2</v>
      </c>
      <c r="F34" s="18" t="inlineStr">
        <is>
          <t>Not Applicable</t>
        </is>
      </c>
      <c r="G34" s="21" t="n"/>
      <c r="H34" s="21" t="n"/>
    </row>
    <row r="35" hidden="1" ht="30" customHeight="1">
      <c r="A35" s="14" t="inlineStr">
        <is>
          <t>V10.5</t>
        </is>
      </c>
      <c r="B35" s="14" t="inlineStr">
        <is>
          <t>OIDC Client</t>
        </is>
      </c>
      <c r="C35" s="15" t="inlineStr">
        <is>
          <t>V10.5.3</t>
        </is>
      </c>
      <c r="D35" s="16"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17" t="n">
        <v>2</v>
      </c>
      <c r="F35" s="18" t="inlineStr">
        <is>
          <t>Not Applicable</t>
        </is>
      </c>
      <c r="G35" s="16" t="n"/>
      <c r="H35" s="16" t="n"/>
    </row>
    <row r="36" hidden="1" ht="30" customHeight="1">
      <c r="A36" s="19" t="inlineStr">
        <is>
          <t>V10.5</t>
        </is>
      </c>
      <c r="B36" s="19" t="inlineStr">
        <is>
          <t>OIDC Client</t>
        </is>
      </c>
      <c r="C36" s="20" t="inlineStr">
        <is>
          <t>V10.5.4</t>
        </is>
      </c>
      <c r="D36" s="21" t="inlineStr">
        <is>
          <t>Verify that the client validates that the ID Token is intended to be used for that client (audience) by checking that the 'aud' claim from the token is equal to the 'client_id' value for the client.</t>
        </is>
      </c>
      <c r="E36" s="17" t="n">
        <v>2</v>
      </c>
      <c r="F36" s="18" t="inlineStr">
        <is>
          <t>Not Applicable</t>
        </is>
      </c>
      <c r="G36" s="21" t="n"/>
      <c r="H36" s="21" t="n"/>
    </row>
    <row r="37" hidden="1" ht="30" customHeight="1">
      <c r="A37" s="14" t="inlineStr">
        <is>
          <t>V10.5</t>
        </is>
      </c>
      <c r="B37" s="14" t="inlineStr">
        <is>
          <t>OIDC Client</t>
        </is>
      </c>
      <c r="C37" s="15" t="inlineStr">
        <is>
          <t>V10.5.5</t>
        </is>
      </c>
      <c r="D37" s="16"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17" t="n">
        <v>2</v>
      </c>
      <c r="F37" s="18" t="inlineStr">
        <is>
          <t>Not Applicable</t>
        </is>
      </c>
      <c r="G37" s="16" t="n"/>
      <c r="H37" s="16" t="n"/>
    </row>
    <row r="38" ht="18" customHeight="1">
      <c r="A38" s="13" t="inlineStr">
        <is>
          <t>V10.6</t>
        </is>
      </c>
      <c r="B38" s="13" t="inlineStr">
        <is>
          <t>OpenID Provider</t>
        </is>
      </c>
      <c r="C38" s="13" t="n"/>
      <c r="D38" s="13" t="n"/>
      <c r="E38" s="13" t="n"/>
      <c r="F38" s="13" t="n"/>
      <c r="G38" s="13" t="n"/>
      <c r="H38" s="13" t="n"/>
    </row>
    <row r="39" hidden="1" ht="30" customHeight="1">
      <c r="A39" s="14" t="inlineStr">
        <is>
          <t>V10.6</t>
        </is>
      </c>
      <c r="B39" s="14" t="inlineStr">
        <is>
          <t>OpenID Provider</t>
        </is>
      </c>
      <c r="C39" s="15" t="inlineStr">
        <is>
          <t>V10.6.1</t>
        </is>
      </c>
      <c r="D39" s="16" t="inlineStr">
        <is>
          <t>Verify that the OpenID Provider only allows values 'code', 'ciba', 'id_token', or 'id_token code' for response mode. Note that 'code' is preferred over 'id_token code' (the OIDC Hybrid flow), and 'token' (any Implicit flow) must not be used.</t>
        </is>
      </c>
      <c r="E39" s="17" t="n">
        <v>2</v>
      </c>
      <c r="F39" s="18" t="inlineStr">
        <is>
          <t>Not Applicable</t>
        </is>
      </c>
      <c r="G39" s="16" t="n"/>
      <c r="H39" s="16" t="n"/>
    </row>
    <row r="40" hidden="1" ht="30" customHeight="1">
      <c r="A40" s="19" t="inlineStr">
        <is>
          <t>V10.6</t>
        </is>
      </c>
      <c r="B40" s="19" t="inlineStr">
        <is>
          <t>OpenID Provider</t>
        </is>
      </c>
      <c r="C40" s="20" t="inlineStr">
        <is>
          <t>V10.6.2</t>
        </is>
      </c>
      <c r="D40" s="21" t="inlineStr">
        <is>
          <t>Verify that the OpenID Provider mitigates denial of service through forced logout. By obtaining explicit confirmation from the end-user or, if present, validating parameters in the logout request (initiated by the relying party), such as the 'id_token_hint'.</t>
        </is>
      </c>
      <c r="E40" s="17" t="n">
        <v>2</v>
      </c>
      <c r="F40" s="18" t="inlineStr">
        <is>
          <t>Not Applicable</t>
        </is>
      </c>
      <c r="G40" s="21" t="n"/>
      <c r="H40" s="21" t="n"/>
    </row>
    <row r="41" ht="18" customHeight="1">
      <c r="A41" s="13" t="inlineStr">
        <is>
          <t>V10.7</t>
        </is>
      </c>
      <c r="B41" s="13" t="inlineStr">
        <is>
          <t>Consent Management</t>
        </is>
      </c>
      <c r="C41" s="13" t="n"/>
      <c r="D41" s="13" t="n"/>
      <c r="E41" s="13" t="n"/>
      <c r="F41" s="13" t="n"/>
      <c r="G41" s="13" t="n"/>
      <c r="H41" s="13" t="n"/>
    </row>
    <row r="42" hidden="1" ht="30" customHeight="1">
      <c r="A42" s="14" t="inlineStr">
        <is>
          <t>V10.7</t>
        </is>
      </c>
      <c r="B42" s="14" t="inlineStr">
        <is>
          <t>Consent Management</t>
        </is>
      </c>
      <c r="C42" s="15" t="inlineStr">
        <is>
          <t>V10.7.1</t>
        </is>
      </c>
      <c r="D42" s="16" t="inlineStr">
        <is>
          <t>Verify that the authorization server ensures that the user consents to each authorization request. If the identity of the client cannot be assured, the authorization server must always explicitly prompt the user for consent.</t>
        </is>
      </c>
      <c r="E42" s="17" t="n">
        <v>2</v>
      </c>
      <c r="F42" s="18" t="inlineStr">
        <is>
          <t>Not Applicable</t>
        </is>
      </c>
      <c r="G42" s="16" t="n"/>
      <c r="H42" s="16" t="n"/>
    </row>
    <row r="43" hidden="1" ht="30" customHeight="1">
      <c r="A43" s="19" t="inlineStr">
        <is>
          <t>V10.7</t>
        </is>
      </c>
      <c r="B43" s="19" t="inlineStr">
        <is>
          <t>Consent Management</t>
        </is>
      </c>
      <c r="C43" s="20" t="inlineStr">
        <is>
          <t>V10.7.2</t>
        </is>
      </c>
      <c r="D43" s="21"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17" t="n">
        <v>2</v>
      </c>
      <c r="F43" s="18" t="inlineStr">
        <is>
          <t>Not Applicable</t>
        </is>
      </c>
      <c r="G43" s="21" t="n"/>
      <c r="H43" s="21" t="n"/>
    </row>
    <row r="44" hidden="1" ht="1" customHeight="1">
      <c r="A44" s="14" t="inlineStr">
        <is>
          <t>V10.7</t>
        </is>
      </c>
      <c r="B44" s="14" t="inlineStr">
        <is>
          <t>Consent Management</t>
        </is>
      </c>
      <c r="C44" s="15" t="inlineStr">
        <is>
          <t>V10.7.3</t>
        </is>
      </c>
      <c r="D44" s="16" t="inlineStr">
        <is>
          <t>Verify that the user can review, modify, and revoke consents which the user has granted through the authorization server.</t>
        </is>
      </c>
      <c r="E44" s="17" t="n">
        <v>2</v>
      </c>
      <c r="F44" s="18" t="inlineStr">
        <is>
          <t>Not Applicable</t>
        </is>
      </c>
      <c r="G44" s="16" t="n"/>
      <c r="H44" s="16" t="n"/>
    </row>
  </sheetData>
  <autoFilter ref="F1:F44">
    <filterColumn colId="0" hiddenButton="0" showButton="1">
      <filters blank="1">
        <filter val="Not Started"/>
      </filters>
    </filterColumn>
  </autoFilter>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2.xml><?xml version="1.0" encoding="utf-8"?>
<worksheet xmlns="http://schemas.openxmlformats.org/spreadsheetml/2006/main">
  <sheetPr filterMode="1">
    <outlinePr summaryBelow="1" summaryRight="1"/>
    <pageSetUpPr/>
  </sheetPr>
  <dimension ref="A1:H32"/>
  <sheetViews>
    <sheetView zoomScale="150" zoomScaleNormal="75" workbookViewId="0">
      <pane ySplit="1" topLeftCell="A2" activePane="bottomLeft" state="frozen"/>
      <selection pane="bottomLeft" activeCell="D37" sqref="D37"/>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V11.1</t>
        </is>
      </c>
      <c r="B2" s="13" t="inlineStr">
        <is>
          <t>Cryptographic Inventory and Documentation</t>
        </is>
      </c>
      <c r="C2" s="13" t="n"/>
      <c r="D2" s="13" t="n"/>
      <c r="E2" s="13" t="n"/>
      <c r="F2" s="13" t="n"/>
      <c r="G2" s="13" t="n"/>
      <c r="H2" s="13" t="n"/>
    </row>
    <row r="3" ht="59" customHeight="1">
      <c r="A3" s="14" t="inlineStr">
        <is>
          <t>V11.1</t>
        </is>
      </c>
      <c r="B3" s="14" t="inlineStr">
        <is>
          <t>Cryptographic Inventory and Documentation</t>
        </is>
      </c>
      <c r="C3" s="15" t="inlineStr">
        <is>
          <t>V11.1.1</t>
        </is>
      </c>
      <c r="D3" s="16"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17" t="n">
        <v>2</v>
      </c>
      <c r="F3" s="18" t="inlineStr">
        <is>
          <t>Not Started</t>
        </is>
      </c>
      <c r="G3" s="16" t="inlineStr">
        <is>
          <t>Applicable to Kryptos due to the encryption of credentials at rest, which requires a documented key-management policy.</t>
        </is>
      </c>
      <c r="H3" s="16" t="n"/>
    </row>
    <row r="4" ht="61" customHeight="1">
      <c r="A4" s="19" t="inlineStr">
        <is>
          <t>V11.1</t>
        </is>
      </c>
      <c r="B4" s="19" t="inlineStr">
        <is>
          <t>Cryptographic Inventory and Documentation</t>
        </is>
      </c>
      <c r="C4" s="20" t="inlineStr">
        <is>
          <t>V11.1.2</t>
        </is>
      </c>
      <c r="D4" s="21"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17" t="n">
        <v>2</v>
      </c>
      <c r="F4" s="18" t="inlineStr">
        <is>
          <t>Not Started</t>
        </is>
      </c>
      <c r="G4" s="21" t="inlineStr">
        <is>
          <t>Applicable to Kryptos due to the multiple cryptographic primitives used across authentication, storage, and signing.</t>
        </is>
      </c>
      <c r="H4" s="21" t="n"/>
    </row>
    <row r="5" ht="45" customHeight="1">
      <c r="A5" s="14" t="inlineStr">
        <is>
          <t>V11.1</t>
        </is>
      </c>
      <c r="B5" s="14" t="inlineStr">
        <is>
          <t>Cryptographic Inventory and Documentation</t>
        </is>
      </c>
      <c r="C5" s="15" t="inlineStr">
        <is>
          <t>V11.1.3</t>
        </is>
      </c>
      <c r="D5" s="16" t="inlineStr">
        <is>
          <t>Verify that cryptographic discovery mechanisms are employed to identify all instances of cryptography in the system, including encryption, hashing, and signing operations.</t>
        </is>
      </c>
      <c r="E5" s="23" t="n">
        <v>3</v>
      </c>
      <c r="F5" s="18" t="inlineStr">
        <is>
          <t>Not Started</t>
        </is>
      </c>
      <c r="G5" s="16" t="inlineStr">
        <is>
          <t>Applicable to Kryptos due to the full lifecycle that encryption keys must follow.</t>
        </is>
      </c>
      <c r="H5" s="16" t="n"/>
    </row>
    <row r="6" ht="62" customHeight="1">
      <c r="A6" s="19" t="inlineStr">
        <is>
          <t>V11.1</t>
        </is>
      </c>
      <c r="B6" s="19" t="inlineStr">
        <is>
          <t>Cryptographic Inventory and Documentation</t>
        </is>
      </c>
      <c r="C6" s="20" t="inlineStr">
        <is>
          <t>V11.1.4</t>
        </is>
      </c>
      <c r="D6" s="21" t="inlineStr">
        <is>
          <t>Verify that a cryptographic inventory is maintained. This must include a documented plan that outlines the migration path to new cryptographic standards, such as post-quantum cryptography, in order to react to future threats.</t>
        </is>
      </c>
      <c r="E6" s="23" t="n">
        <v>3</v>
      </c>
      <c r="F6" s="18" t="inlineStr">
        <is>
          <t>Not Started</t>
        </is>
      </c>
      <c r="G6" s="21" t="inlineStr">
        <is>
          <t>Applicable to Kryptos due to the presence of several critical secrets that require rotation scheduling.</t>
        </is>
      </c>
      <c r="H6" s="21" t="n"/>
    </row>
    <row r="7" ht="18" customHeight="1">
      <c r="A7" s="13" t="inlineStr">
        <is>
          <t>V11.2</t>
        </is>
      </c>
      <c r="B7" s="13" t="inlineStr">
        <is>
          <t>Secure Cryptography Implementation</t>
        </is>
      </c>
      <c r="C7" s="13" t="n"/>
      <c r="D7" s="13" t="n"/>
      <c r="E7" s="13" t="n"/>
      <c r="F7" s="13" t="n"/>
      <c r="G7" s="13" t="n"/>
      <c r="H7" s="13" t="n"/>
    </row>
    <row r="8" ht="63" customHeight="1">
      <c r="A8" s="14" t="inlineStr">
        <is>
          <t>V11.2</t>
        </is>
      </c>
      <c r="B8" s="14" t="inlineStr">
        <is>
          <t>Secure Cryptography Implementation</t>
        </is>
      </c>
      <c r="C8" s="15" t="inlineStr">
        <is>
          <t>V11.2.1</t>
        </is>
      </c>
      <c r="D8" s="16" t="inlineStr">
        <is>
          <t>Verify that industry-validated implementations (including libraries and hardware-accelerated implementations) are used for cryptographic operations.</t>
        </is>
      </c>
      <c r="E8" s="17" t="n">
        <v>2</v>
      </c>
      <c r="F8" s="18" t="inlineStr">
        <is>
          <t>Compliant</t>
        </is>
      </c>
      <c r="G8" s="16" t="inlineStr">
        <is>
          <t>Cryptographic operations rely on industry-validated implementations only: JCE (javax.crypto AES/GCM), Spring Security Argon2PasswordEncoder, io.jsonwebtoken (jjwt) 0.12.6, java.security.SecureRandom.</t>
        </is>
      </c>
      <c r="H8" s="16" t="inlineStr">
        <is>
          <t>EncryptionService.java; SecurityConfig.passwordEncoder; JwtService.java</t>
        </is>
      </c>
    </row>
    <row r="9" ht="52" customHeight="1">
      <c r="A9" s="19" t="inlineStr">
        <is>
          <t>V11.2</t>
        </is>
      </c>
      <c r="B9" s="19" t="inlineStr">
        <is>
          <t>Secure Cryptography Implementation</t>
        </is>
      </c>
      <c r="C9" s="20" t="inlineStr">
        <is>
          <t>V11.2.2</t>
        </is>
      </c>
      <c r="D9" s="21"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17" t="n">
        <v>2</v>
      </c>
      <c r="F9" s="18" t="inlineStr">
        <is>
          <t>Not Started</t>
        </is>
      </c>
      <c r="G9" s="21" t="inlineStr">
        <is>
          <t>Applicable to Kryptos due to the need to upgrade algorithms without rewriting the system.</t>
        </is>
      </c>
      <c r="H9" s="21" t="n"/>
    </row>
    <row r="10" ht="48" customHeight="1">
      <c r="A10" s="14" t="inlineStr">
        <is>
          <t>V11.2</t>
        </is>
      </c>
      <c r="B10" s="14" t="inlineStr">
        <is>
          <t>Secure Cryptography Implementation</t>
        </is>
      </c>
      <c r="C10" s="15" t="inlineStr">
        <is>
          <t>V11.2.3</t>
        </is>
      </c>
      <c r="D10" s="16"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17" t="n">
        <v>2</v>
      </c>
      <c r="F10" s="18" t="inlineStr">
        <is>
          <t>Compliant</t>
        </is>
      </c>
      <c r="G10" s="16" t="inlineStr">
        <is>
          <t>Cryptographic primitives provide ≥128 bits of security: AES-256 with 128-bit GCM tag, Argon2id with Spring Security defaults, SHA-256.</t>
        </is>
      </c>
      <c r="H10" s="16" t="inlineStr">
        <is>
          <t>EncryptionService.java (TAG_LENGTH=128); SecurityConfig.passwordEncoder</t>
        </is>
      </c>
    </row>
    <row r="11" ht="48" customHeight="1">
      <c r="A11" s="19" t="inlineStr">
        <is>
          <t>V11.2</t>
        </is>
      </c>
      <c r="B11" s="19" t="inlineStr">
        <is>
          <t>Secure Cryptography Implementation</t>
        </is>
      </c>
      <c r="C11" s="20" t="inlineStr">
        <is>
          <t>V11.2.4</t>
        </is>
      </c>
      <c r="D11" s="21" t="inlineStr">
        <is>
          <t>Verify that all cryptographic operations are constant-time, with no 'short-circuit' operations in comparisons, calculations, or returns, to avoid leaking information.</t>
        </is>
      </c>
      <c r="E11" s="23" t="n">
        <v>3</v>
      </c>
      <c r="F11" s="18" t="inlineStr">
        <is>
          <t>Not Started</t>
        </is>
      </c>
      <c r="G11" s="21" t="inlineStr">
        <is>
          <t>Applicable to Kryptos due to the risk of timing attacks on hash and token comparisons.</t>
        </is>
      </c>
      <c r="H11" s="21" t="n"/>
    </row>
    <row r="12" ht="48" customHeight="1">
      <c r="A12" s="14" t="inlineStr">
        <is>
          <t>V11.2</t>
        </is>
      </c>
      <c r="B12" s="14" t="inlineStr">
        <is>
          <t>Secure Cryptography Implementation</t>
        </is>
      </c>
      <c r="C12" s="15" t="inlineStr">
        <is>
          <t>V11.2.5</t>
        </is>
      </c>
      <c r="D12" s="16" t="inlineStr">
        <is>
          <t>Verify that all cryptographic modules fail securely, and errors are handled in a way that does not enable vulnerabilities, such as Padding Oracle attacks.</t>
        </is>
      </c>
      <c r="E12" s="23" t="n">
        <v>3</v>
      </c>
      <c r="F12" s="18" t="inlineStr">
        <is>
          <t>Not Started</t>
        </is>
      </c>
      <c r="G12" s="16" t="inlineStr">
        <is>
          <t>Applicable to Kryptos due to cryptographic failures potentially exposing internals through error responses.</t>
        </is>
      </c>
      <c r="H12" s="16" t="n"/>
    </row>
    <row r="13" ht="18" customHeight="1">
      <c r="A13" s="13" t="inlineStr">
        <is>
          <t>V11.3</t>
        </is>
      </c>
      <c r="B13" s="13" t="inlineStr">
        <is>
          <t>Encryption Algorithms</t>
        </is>
      </c>
      <c r="C13" s="13" t="n"/>
      <c r="D13" s="13" t="n"/>
      <c r="E13" s="13" t="n"/>
      <c r="F13" s="13" t="n"/>
      <c r="G13" s="13" t="n"/>
      <c r="H13" s="13" t="n"/>
    </row>
    <row r="14" ht="49" customHeight="1">
      <c r="A14" s="14" t="inlineStr">
        <is>
          <t>V11.3</t>
        </is>
      </c>
      <c r="B14" s="14" t="inlineStr">
        <is>
          <t>Encryption Algorithms</t>
        </is>
      </c>
      <c r="C14" s="15" t="inlineStr">
        <is>
          <t>V11.3.1</t>
        </is>
      </c>
      <c r="D14" s="16" t="inlineStr">
        <is>
          <t>Verify that insecure block modes (e.g., ECB) and weak padding schemes (e.g., PKCS#1 v1.5) are not used.</t>
        </is>
      </c>
      <c r="E14" s="22" t="n">
        <v>1</v>
      </c>
      <c r="F14" s="18" t="inlineStr">
        <is>
          <t>Compliant</t>
        </is>
      </c>
      <c r="G14" s="16" t="inlineStr">
        <is>
          <t>No insecure block modes or padding schemes are used. Only AES/GCM/NoPadding (authenticated encryption).</t>
        </is>
      </c>
      <c r="H14" s="16" t="inlineStr">
        <is>
          <t>EncryptionService.java#ALGORITHM</t>
        </is>
      </c>
    </row>
    <row r="15" ht="30" customHeight="1">
      <c r="A15" s="19" t="inlineStr">
        <is>
          <t>V11.3</t>
        </is>
      </c>
      <c r="B15" s="19" t="inlineStr">
        <is>
          <t>Encryption Algorithms</t>
        </is>
      </c>
      <c r="C15" s="20" t="inlineStr">
        <is>
          <t>V11.3.2</t>
        </is>
      </c>
      <c r="D15" s="21" t="inlineStr">
        <is>
          <t>Verify that only approved ciphers and modes such as AES with GCM are used.</t>
        </is>
      </c>
      <c r="E15" s="22" t="n">
        <v>1</v>
      </c>
      <c r="F15" s="18" t="inlineStr">
        <is>
          <t>Compliant</t>
        </is>
      </c>
      <c r="G15" s="21" t="inlineStr">
        <is>
          <t>AES-256/GCM/NoPadding is the only symmetric cipher in use (EncryptionService).</t>
        </is>
      </c>
      <c r="H15" s="21" t="inlineStr">
        <is>
          <t>EncryptionService.java</t>
        </is>
      </c>
    </row>
    <row r="16" ht="49" customHeight="1">
      <c r="A16" s="14" t="inlineStr">
        <is>
          <t>V11.3</t>
        </is>
      </c>
      <c r="B16" s="14" t="inlineStr">
        <is>
          <t>Encryption Algorithms</t>
        </is>
      </c>
      <c r="C16" s="15" t="inlineStr">
        <is>
          <t>V11.3.3</t>
        </is>
      </c>
      <c r="D16" s="16" t="inlineStr">
        <is>
          <t>Verify that encrypted data is protected against unauthorized modification preferably by using an approved authenticated encryption method or by combining an approved encryption method with an approved MAC algorithm.</t>
        </is>
      </c>
      <c r="E16" s="17" t="n">
        <v>2</v>
      </c>
      <c r="F16" s="18" t="inlineStr">
        <is>
          <t>Compliant</t>
        </is>
      </c>
      <c r="G16" s="16" t="inlineStr">
        <is>
          <t>Encrypted data is protected by the GCM 128-bit authentication tag. Tampered ciphertext is rejected with EncryptionException at decrypt time.</t>
        </is>
      </c>
      <c r="H16" s="16" t="inlineStr">
        <is>
          <t>EncryptionService.decrypt; EncryptionServiceTest.decrypt_shouldThrowEncryptionException_whenCiphertextIsTampered</t>
        </is>
      </c>
    </row>
    <row r="17" ht="30" customHeight="1">
      <c r="A17" s="19" t="inlineStr">
        <is>
          <t>V11.3</t>
        </is>
      </c>
      <c r="B17" s="19" t="inlineStr">
        <is>
          <t>Encryption Algorithms</t>
        </is>
      </c>
      <c r="C17" s="20" t="inlineStr">
        <is>
          <t>V11.3.4</t>
        </is>
      </c>
      <c r="D17" s="21" t="inlineStr">
        <is>
          <t>Verify that nonces, initialization vectors, and other single-use numbers are not used for more than one encryption key and data-element pair. The method of generation must be appropriate for the algorithm being used.</t>
        </is>
      </c>
      <c r="E17" s="23" t="n">
        <v>3</v>
      </c>
      <c r="F17" s="18" t="inlineStr">
        <is>
          <t>Compliant</t>
        </is>
      </c>
      <c r="G17" s="21" t="inlineStr">
        <is>
          <t>A fresh 12-byte IV is generated from SecureRandom for every encrypt call; two encryptions of the same plaintext produce different ciphertexts (tested).</t>
        </is>
      </c>
      <c r="H17" s="21" t="inlineStr">
        <is>
          <t>EncryptionService.encrypt; EncryptionServiceTest.encrypt_shouldProduceDifferentCiphertexts_forSamePlaintext</t>
        </is>
      </c>
    </row>
    <row r="18" ht="69" customHeight="1">
      <c r="A18" s="14" t="inlineStr">
        <is>
          <t>V11.3</t>
        </is>
      </c>
      <c r="B18" s="14" t="inlineStr">
        <is>
          <t>Encryption Algorithms</t>
        </is>
      </c>
      <c r="C18" s="15" t="inlineStr">
        <is>
          <t>V11.3.5</t>
        </is>
      </c>
      <c r="D18" s="16" t="inlineStr">
        <is>
          <t>Verify that any combination of an encryption algorithm and a MAC algorithm is operating in encrypt-then-MAC mode.</t>
        </is>
      </c>
      <c r="E18" s="23" t="n">
        <v>3</v>
      </c>
      <c r="F18" s="18" t="inlineStr">
        <is>
          <t>Not Started</t>
        </is>
      </c>
      <c r="G18" s="16" t="inlineStr">
        <is>
          <t>Partially applicable to Kryptos because AES-GCM already provides authentication, and Encrypt-then-MAC would only apply if a non-AEAD cipher were introduced.</t>
        </is>
      </c>
      <c r="H18" s="16" t="n"/>
    </row>
    <row r="19" ht="20" customHeight="1">
      <c r="A19" s="13" t="inlineStr">
        <is>
          <t>V11.4</t>
        </is>
      </c>
      <c r="B19" s="13" t="inlineStr">
        <is>
          <t>Hashing and Hash-based Functions</t>
        </is>
      </c>
      <c r="C19" s="13" t="n"/>
      <c r="D19" s="13" t="n"/>
      <c r="E19" s="13" t="n"/>
      <c r="F19" s="13" t="n"/>
      <c r="G19" s="13" t="n"/>
      <c r="H19" s="13" t="n"/>
    </row>
    <row r="20" ht="53" customHeight="1">
      <c r="A20" s="14" t="inlineStr">
        <is>
          <t>V11.4</t>
        </is>
      </c>
      <c r="B20" s="14" t="inlineStr">
        <is>
          <t>Hashing and Hash-based Functions</t>
        </is>
      </c>
      <c r="C20" s="15" t="inlineStr">
        <is>
          <t>V11.4.1</t>
        </is>
      </c>
      <c r="D20" s="16" t="inlineStr">
        <is>
          <t>Verify that only approved hash functions are used for general cryptographic use cases, including digital signatures, HMAC, KDF, and random bit generation. Disallowed hash functions, such as MD5, must not be used for any cryptographic purpose.</t>
        </is>
      </c>
      <c r="E20" s="22" t="n">
        <v>1</v>
      </c>
      <c r="F20" s="18" t="inlineStr">
        <is>
          <t>Compliant</t>
        </is>
      </c>
      <c r="G20" s="16" t="inlineStr">
        <is>
          <t>Only SHA-256 is used (audit-log hash chaining and AES key derivation). MD5/SHA-1 are not used anywhere in the codebase.</t>
        </is>
      </c>
      <c r="H20" s="16" t="inlineStr">
        <is>
          <t>AuditService.computeHash; EncryptionService constructor</t>
        </is>
      </c>
    </row>
    <row r="21" ht="30" customHeight="1">
      <c r="A21" s="19" t="inlineStr">
        <is>
          <t>V11.4</t>
        </is>
      </c>
      <c r="B21" s="19" t="inlineStr">
        <is>
          <t>Hashing and Hash-based Functions</t>
        </is>
      </c>
      <c r="C21" s="20" t="inlineStr">
        <is>
          <t>V11.4.2</t>
        </is>
      </c>
      <c r="D21" s="21"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17" t="n">
        <v>2</v>
      </c>
      <c r="F21" s="18" t="inlineStr">
        <is>
          <t>Compliant</t>
        </is>
      </c>
      <c r="G21" s="21" t="inlineStr">
        <is>
          <t>Passwords are stored with Argon2PasswordEncoder.defaultsForSpringSecurity_v5_8() (Argon2id with current Spring Security defaults).</t>
        </is>
      </c>
      <c r="H21" s="21" t="inlineStr">
        <is>
          <t>SecurityConfig.passwordEncoder</t>
        </is>
      </c>
    </row>
    <row r="22" ht="38" customHeight="1">
      <c r="A22" s="14" t="inlineStr">
        <is>
          <t>V11.4</t>
        </is>
      </c>
      <c r="B22" s="14" t="inlineStr">
        <is>
          <t>Hashing and Hash-based Functions</t>
        </is>
      </c>
      <c r="C22" s="15" t="inlineStr">
        <is>
          <t>V11.4.3</t>
        </is>
      </c>
      <c r="D22" s="16"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17" t="n">
        <v>2</v>
      </c>
      <c r="F22" s="18" t="inlineStr">
        <is>
          <t>Compliant</t>
        </is>
      </c>
      <c r="G22" s="16" t="inlineStr">
        <is>
          <t>SHA-256 is used for the audit hash chain (collision-resistant, 256-bit output).</t>
        </is>
      </c>
      <c r="H22" s="16" t="inlineStr">
        <is>
          <t>AuditService.computeHash</t>
        </is>
      </c>
    </row>
    <row r="23" ht="35" customHeight="1">
      <c r="A23" s="19" t="inlineStr">
        <is>
          <t>V11.4</t>
        </is>
      </c>
      <c r="B23" s="19" t="inlineStr">
        <is>
          <t>Hashing and Hash-based Functions</t>
        </is>
      </c>
      <c r="C23" s="20" t="inlineStr">
        <is>
          <t>V11.4.4</t>
        </is>
      </c>
      <c r="D23" s="21"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17" t="n">
        <v>2</v>
      </c>
      <c r="F23" s="18" t="inlineStr">
        <is>
          <t>Not Started</t>
        </is>
      </c>
      <c r="G23" s="21" t="inlineStr">
        <is>
          <t>Applicable to Kryptos due to the derivation of cryptographic keys from user passwords.</t>
        </is>
      </c>
      <c r="H23" s="21" t="n"/>
    </row>
    <row r="24" ht="18" customHeight="1">
      <c r="A24" s="13" t="inlineStr">
        <is>
          <t>V11.5</t>
        </is>
      </c>
      <c r="B24" s="13" t="inlineStr">
        <is>
          <t>Random Values</t>
        </is>
      </c>
      <c r="C24" s="13" t="n"/>
      <c r="D24" s="13" t="n"/>
      <c r="E24" s="13" t="n"/>
      <c r="F24" s="13" t="n"/>
      <c r="G24" s="13" t="n"/>
      <c r="H24" s="13" t="n"/>
    </row>
    <row r="25" ht="48" customHeight="1">
      <c r="A25" s="14" t="inlineStr">
        <is>
          <t>V11.5</t>
        </is>
      </c>
      <c r="B25" s="14" t="inlineStr">
        <is>
          <t>Random Values</t>
        </is>
      </c>
      <c r="C25" s="15" t="inlineStr">
        <is>
          <t>V11.5.1</t>
        </is>
      </c>
      <c r="D25" s="16"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17" t="n">
        <v>2</v>
      </c>
      <c r="F25" s="18" t="inlineStr">
        <is>
          <t>Compliant</t>
        </is>
      </c>
      <c r="G25" s="16" t="inlineStr">
        <is>
          <t>Non-guessable values are generated via java.security.SecureRandom (CSPRNG): GCM IVs (96 bits — required by GCM), secure-wipe random bytes, and UUID.randomUUID() for filenames. JWTs are signed; no random reference token is issued.</t>
        </is>
      </c>
      <c r="H25" s="16" t="inlineStr">
        <is>
          <t>EncryptionService.SECURE_RANDOM; FileHandlingService.secureDelete</t>
        </is>
      </c>
    </row>
    <row r="26" ht="36" customHeight="1">
      <c r="A26" s="19" t="inlineStr">
        <is>
          <t>V11.5</t>
        </is>
      </c>
      <c r="B26" s="19" t="inlineStr">
        <is>
          <t>Random Values</t>
        </is>
      </c>
      <c r="C26" s="20" t="inlineStr">
        <is>
          <t>V11.5.2</t>
        </is>
      </c>
      <c r="D26" s="21" t="inlineStr">
        <is>
          <t>Verify that the random number generation mechanism in use is designed to work securely, even under heavy demand.</t>
        </is>
      </c>
      <c r="E26" s="23" t="n">
        <v>3</v>
      </c>
      <c r="F26" s="18" t="inlineStr">
        <is>
          <t>Not Started</t>
        </is>
      </c>
      <c r="G26" s="21" t="inlineStr">
        <is>
          <t>Applicable to Kryptos due to every cryptographic key being generated from randomness.</t>
        </is>
      </c>
      <c r="H26" s="21" t="n"/>
    </row>
    <row r="27" ht="18" customHeight="1">
      <c r="A27" s="13" t="inlineStr">
        <is>
          <t>V11.6</t>
        </is>
      </c>
      <c r="B27" s="13" t="inlineStr">
        <is>
          <t>Public Key Cryptography</t>
        </is>
      </c>
      <c r="C27" s="13" t="n"/>
      <c r="D27" s="13" t="n"/>
      <c r="E27" s="13" t="n"/>
      <c r="F27" s="13" t="n"/>
      <c r="G27" s="13" t="n"/>
      <c r="H27" s="13" t="n"/>
    </row>
    <row r="28" ht="42" customHeight="1">
      <c r="A28" s="14" t="inlineStr">
        <is>
          <t>V11.6</t>
        </is>
      </c>
      <c r="B28" s="14" t="inlineStr">
        <is>
          <t>Public Key Cryptography</t>
        </is>
      </c>
      <c r="C28" s="15" t="inlineStr">
        <is>
          <t>V11.6.1</t>
        </is>
      </c>
      <c r="D28" s="16"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17" t="n">
        <v>2</v>
      </c>
      <c r="F28" s="18" t="inlineStr">
        <is>
          <t>In Progress</t>
        </is>
      </c>
      <c r="G28" s="16" t="inlineStr">
        <is>
          <t>AES keys are derived from ENCRYPTION_SECRET via a single SHA-256 pass (EncryptionService constructor). This is functional but is not an approved KDF; migration to HKDF or PBKDF2 is planned. Algorithms for signing (HS256) and hashing (SHA-256) are approved.</t>
        </is>
      </c>
      <c r="H28" s="16" t="inlineStr">
        <is>
          <t>EncryptionService constructor</t>
        </is>
      </c>
    </row>
    <row r="29" hidden="1" ht="30" customHeight="1">
      <c r="A29" s="19" t="inlineStr">
        <is>
          <t>V11.6</t>
        </is>
      </c>
      <c r="B29" s="19" t="inlineStr">
        <is>
          <t>Public Key Cryptography</t>
        </is>
      </c>
      <c r="C29" s="20" t="inlineStr">
        <is>
          <t>V11.6.2</t>
        </is>
      </c>
      <c r="D29" s="21"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23" t="n">
        <v>3</v>
      </c>
      <c r="F29" s="18" t="inlineStr">
        <is>
          <t>Not Applicable</t>
        </is>
      </c>
      <c r="G29" s="21" t="n"/>
      <c r="H29" s="21" t="n"/>
    </row>
    <row r="30" ht="18" customHeight="1">
      <c r="A30" s="13" t="inlineStr">
        <is>
          <t>V11.7</t>
        </is>
      </c>
      <c r="B30" s="13" t="inlineStr">
        <is>
          <t>In-Use Data Cryptography</t>
        </is>
      </c>
      <c r="C30" s="13" t="n"/>
      <c r="D30" s="13" t="n"/>
      <c r="E30" s="13" t="n"/>
      <c r="F30" s="13" t="n"/>
      <c r="G30" s="13" t="n"/>
      <c r="H30" s="13" t="n"/>
    </row>
    <row r="31" hidden="1" ht="30" customHeight="1">
      <c r="A31" s="14" t="inlineStr">
        <is>
          <t>V11.7</t>
        </is>
      </c>
      <c r="B31" s="14" t="inlineStr">
        <is>
          <t>In-Use Data Cryptography</t>
        </is>
      </c>
      <c r="C31" s="15" t="inlineStr">
        <is>
          <t>V11.7.1</t>
        </is>
      </c>
      <c r="D31" s="16" t="inlineStr">
        <is>
          <t>Verify that full memory encryption is in use that protects sensitive data while it is in use, preventing access by unauthorized users or processes.</t>
        </is>
      </c>
      <c r="E31" s="23" t="n">
        <v>3</v>
      </c>
      <c r="F31" s="18" t="inlineStr">
        <is>
          <t>Not Applicable</t>
        </is>
      </c>
      <c r="G31" s="16" t="n"/>
      <c r="H31" s="16" t="n"/>
    </row>
    <row r="32" ht="51" customHeight="1">
      <c r="A32" s="19" t="inlineStr">
        <is>
          <t>V11.7</t>
        </is>
      </c>
      <c r="B32" s="19" t="inlineStr">
        <is>
          <t>In-Use Data Cryptography</t>
        </is>
      </c>
      <c r="C32" s="20" t="inlineStr">
        <is>
          <t>V11.7.2</t>
        </is>
      </c>
      <c r="D32" s="21" t="inlineStr">
        <is>
          <t>Verify that data minimization ensures the minimal amount of data is exposed during processing, and ensure that data is encrypted immediately after use or as soon as feasible.</t>
        </is>
      </c>
      <c r="E32" s="23" t="n">
        <v>3</v>
      </c>
      <c r="F32" s="18" t="inlineStr">
        <is>
          <t>Not Started</t>
        </is>
      </c>
      <c r="G32" s="21" t="inlineStr">
        <is>
          <t>Partially applicable to Kryptos because decrypted credentials exist only during a single request and must be zeroed from memory afterwards.</t>
        </is>
      </c>
      <c r="H32" s="21" t="n"/>
    </row>
  </sheetData>
  <autoFilter ref="F1:F32">
    <filterColumn colId="0" hiddenButton="0" showButton="1">
      <filters blank="1">
        <filter val="Not Started"/>
      </filters>
    </filterColumn>
  </autoFilter>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3.xml><?xml version="1.0" encoding="utf-8"?>
<worksheet xmlns="http://schemas.openxmlformats.org/spreadsheetml/2006/main">
  <sheetPr filterMode="1">
    <outlinePr summaryBelow="1" summaryRight="1"/>
    <pageSetUpPr/>
  </sheetPr>
  <dimension ref="A1:H16"/>
  <sheetViews>
    <sheetView zoomScale="115" zoomScaleNormal="75" workbookViewId="0">
      <pane ySplit="1" topLeftCell="A2" activePane="bottomLeft" state="frozen"/>
      <selection pane="bottomLeft" activeCell="D19" sqref="D19"/>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V12.1</t>
        </is>
      </c>
      <c r="B2" s="13" t="inlineStr">
        <is>
          <t>General TLS Security Guidance</t>
        </is>
      </c>
      <c r="C2" s="13" t="n"/>
      <c r="D2" s="13" t="n"/>
      <c r="E2" s="13" t="n"/>
      <c r="F2" s="13" t="n"/>
      <c r="G2" s="13" t="n"/>
      <c r="H2" s="13" t="n"/>
    </row>
    <row r="3" ht="30" customHeight="1">
      <c r="A3" s="14" t="inlineStr">
        <is>
          <t>V12.1</t>
        </is>
      </c>
      <c r="B3" s="14" t="inlineStr">
        <is>
          <t>General TLS Security Guidance</t>
        </is>
      </c>
      <c r="C3" s="15" t="inlineStr">
        <is>
          <t>V12.1.1</t>
        </is>
      </c>
      <c r="D3" s="16" t="inlineStr">
        <is>
          <t>Verify that only the latest recommended versions of the TLS protocol are enabled, such as TLS 1.2 and TLS 1.3. The latest version of the TLS protocol must be the preferred option.</t>
        </is>
      </c>
      <c r="E3" s="22" t="n">
        <v>1</v>
      </c>
      <c r="F3" s="18" t="inlineStr">
        <is>
          <t>Not Started</t>
        </is>
      </c>
      <c r="G3" s="16" t="inlineStr">
        <is>
          <t>Applicable to Kryptos due to all API traffic requiring encrypted transport.</t>
        </is>
      </c>
      <c r="H3" s="16" t="n"/>
    </row>
    <row r="4" ht="30" customHeight="1">
      <c r="A4" s="19" t="inlineStr">
        <is>
          <t>V12.1</t>
        </is>
      </c>
      <c r="B4" s="19" t="inlineStr">
        <is>
          <t>General TLS Security Guidance</t>
        </is>
      </c>
      <c r="C4" s="20" t="inlineStr">
        <is>
          <t>V12.1.2</t>
        </is>
      </c>
      <c r="D4" s="21" t="inlineStr">
        <is>
          <t>Verify that only recommended cipher suites are enabled, with the strongest cipher suites set as preferred. L3 applications must only support cipher suites which provide forward secrecy.</t>
        </is>
      </c>
      <c r="E4" s="17" t="n">
        <v>2</v>
      </c>
      <c r="F4" s="18" t="inlineStr">
        <is>
          <t>Not Started</t>
        </is>
      </c>
      <c r="G4" s="21" t="inlineStr">
        <is>
          <t>Applicable to Kryptos due to weak cipher suites posing a downgrade risk.</t>
        </is>
      </c>
      <c r="H4" s="21" t="n"/>
    </row>
    <row r="5" hidden="1" ht="30" customHeight="1">
      <c r="A5" s="14" t="inlineStr">
        <is>
          <t>V12.1</t>
        </is>
      </c>
      <c r="B5" s="14" t="inlineStr">
        <is>
          <t>General TLS Security Guidance</t>
        </is>
      </c>
      <c r="C5" s="15" t="inlineStr">
        <is>
          <t>V12.1.3</t>
        </is>
      </c>
      <c r="D5" s="16" t="inlineStr">
        <is>
          <t>Verify that the application validates that mTLS client certificates are trusted before using the certificate identity for authentication or authorization.</t>
        </is>
      </c>
      <c r="E5" s="17" t="n">
        <v>2</v>
      </c>
      <c r="F5" s="18" t="inlineStr">
        <is>
          <t>Not Applicable</t>
        </is>
      </c>
      <c r="G5" s="16" t="n"/>
      <c r="H5" s="16" t="n"/>
    </row>
    <row r="6" ht="30" customHeight="1">
      <c r="A6" s="19" t="inlineStr">
        <is>
          <t>V12.1</t>
        </is>
      </c>
      <c r="B6" s="19" t="inlineStr">
        <is>
          <t>General TLS Security Guidance</t>
        </is>
      </c>
      <c r="C6" s="20" t="inlineStr">
        <is>
          <t>V12.1.4</t>
        </is>
      </c>
      <c r="D6" s="21" t="inlineStr">
        <is>
          <t>Verify that proper certification revocation, such as Online Certificate Status Protocol (OCSP) Stapling, is enabled and configured.</t>
        </is>
      </c>
      <c r="E6" s="23" t="n">
        <v>3</v>
      </c>
      <c r="F6" s="18" t="inlineStr">
        <is>
          <t>Not Started</t>
        </is>
      </c>
      <c r="G6" s="21" t="inlineStr">
        <is>
          <t>Applicable to Kryptos due to the need to prevent protocol downgrade attacks through HSTS.</t>
        </is>
      </c>
      <c r="H6" s="21" t="n"/>
    </row>
    <row r="7" hidden="1" ht="30" customHeight="1">
      <c r="A7" s="14" t="inlineStr">
        <is>
          <t>V12.1</t>
        </is>
      </c>
      <c r="B7" s="14" t="inlineStr">
        <is>
          <t>General TLS Security Guidance</t>
        </is>
      </c>
      <c r="C7" s="15" t="inlineStr">
        <is>
          <t>V12.1.5</t>
        </is>
      </c>
      <c r="D7" s="16" t="inlineStr">
        <is>
          <t>Verify that Encrypted Client Hello (ECH) is enabled in the application's TLS settings to prevent exposure of sensitive metadata, such as the Server Name Indication (SNI), during TLS handshake processes.</t>
        </is>
      </c>
      <c r="E7" s="23" t="n">
        <v>3</v>
      </c>
      <c r="F7" s="18" t="inlineStr">
        <is>
          <t>Not Applicable</t>
        </is>
      </c>
      <c r="G7" s="16" t="n"/>
      <c r="H7" s="16" t="n"/>
    </row>
    <row r="8" ht="18" customHeight="1">
      <c r="A8" s="13" t="inlineStr">
        <is>
          <t>V12.2</t>
        </is>
      </c>
      <c r="B8" s="13" t="inlineStr">
        <is>
          <t>HTTPS Communication with External Facing Services</t>
        </is>
      </c>
      <c r="C8" s="13" t="n"/>
      <c r="D8" s="13" t="n"/>
      <c r="E8" s="13" t="n"/>
      <c r="F8" s="13" t="n"/>
      <c r="G8" s="13" t="n"/>
      <c r="H8" s="13" t="n"/>
    </row>
    <row r="9" ht="30" customHeight="1">
      <c r="A9" s="14" t="inlineStr">
        <is>
          <t>V12.2</t>
        </is>
      </c>
      <c r="B9" s="14" t="inlineStr">
        <is>
          <t>HTTPS Communication with External Facing Services</t>
        </is>
      </c>
      <c r="C9" s="15" t="inlineStr">
        <is>
          <t>V12.2.1</t>
        </is>
      </c>
      <c r="D9" s="16" t="inlineStr">
        <is>
          <t>Verify that TLS is used for all connectivity between a client and external facing, HTTP-based services, and does not fall back to insecure or unencrypted communications.</t>
        </is>
      </c>
      <c r="E9" s="22" t="n">
        <v>1</v>
      </c>
      <c r="F9" s="18" t="inlineStr">
        <is>
          <t>Not Started</t>
        </is>
      </c>
      <c r="G9" s="16" t="inlineStr">
        <is>
          <t>Applicable to Kryptos due to its public-facing API being accessed over untrusted networks.</t>
        </is>
      </c>
      <c r="H9" s="16" t="n"/>
    </row>
    <row r="10" ht="51" customHeight="1">
      <c r="A10" s="19" t="inlineStr">
        <is>
          <t>V12.2</t>
        </is>
      </c>
      <c r="B10" s="19" t="inlineStr">
        <is>
          <t>HTTPS Communication with External Facing Services</t>
        </is>
      </c>
      <c r="C10" s="20" t="inlineStr">
        <is>
          <t>V12.2.2</t>
        </is>
      </c>
      <c r="D10" s="21" t="inlineStr">
        <is>
          <t>Verify that external facing services use publicly trusted TLS certificates.</t>
        </is>
      </c>
      <c r="E10" s="22" t="n">
        <v>1</v>
      </c>
      <c r="F10" s="18" t="inlineStr">
        <is>
          <t>Not Started</t>
        </is>
      </c>
      <c r="G10" s="21" t="inlineStr">
        <is>
          <t>Applicable to Kryptos due to public clients needing to verify server identity through trusted certificates.</t>
        </is>
      </c>
      <c r="H10" s="21" t="n"/>
    </row>
    <row r="11" ht="18" customHeight="1">
      <c r="A11" s="13" t="inlineStr">
        <is>
          <t>V12.3</t>
        </is>
      </c>
      <c r="B11" s="13" t="inlineStr">
        <is>
          <t>General Service to Service Communication Security</t>
        </is>
      </c>
      <c r="C11" s="13" t="n"/>
      <c r="D11" s="13" t="n"/>
      <c r="E11" s="13" t="n"/>
      <c r="F11" s="13" t="n"/>
      <c r="G11" s="13" t="n"/>
      <c r="H11" s="13" t="n"/>
    </row>
    <row r="12" ht="30" customHeight="1">
      <c r="A12" s="14" t="inlineStr">
        <is>
          <t>V12.3</t>
        </is>
      </c>
      <c r="B12" s="14" t="inlineStr">
        <is>
          <t>General Service to Service Communication Security</t>
        </is>
      </c>
      <c r="C12" s="15" t="inlineStr">
        <is>
          <t>V12.3.1</t>
        </is>
      </c>
      <c r="D12" s="16"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17" t="n">
        <v>2</v>
      </c>
      <c r="F12" s="18" t="inlineStr">
        <is>
          <t>Not Started</t>
        </is>
      </c>
      <c r="G12" s="16" t="inlineStr">
        <is>
          <t>Applicable to Kryptos due to sensitive data flowing between the API and the database.</t>
        </is>
      </c>
      <c r="H12" s="16" t="n"/>
    </row>
    <row r="13" ht="50" customHeight="1">
      <c r="A13" s="19" t="inlineStr">
        <is>
          <t>V12.3</t>
        </is>
      </c>
      <c r="B13" s="19" t="inlineStr">
        <is>
          <t>General Service to Service Communication Security</t>
        </is>
      </c>
      <c r="C13" s="20" t="inlineStr">
        <is>
          <t>V12.3.2</t>
        </is>
      </c>
      <c r="D13" s="21" t="inlineStr">
        <is>
          <t>Verify that TLS clients validate certificates received before communicating with a TLS server.</t>
        </is>
      </c>
      <c r="E13" s="17" t="n">
        <v>2</v>
      </c>
      <c r="F13" s="18" t="inlineStr">
        <is>
          <t>Not Started</t>
        </is>
      </c>
      <c r="G13" s="21" t="inlineStr">
        <is>
          <t>Applicable to Kryptos due to the database client needing to verify server identity before sending queries.</t>
        </is>
      </c>
      <c r="H13" s="21" t="n"/>
    </row>
    <row r="14" ht="48" customHeight="1">
      <c r="A14" s="14" t="inlineStr">
        <is>
          <t>V12.3</t>
        </is>
      </c>
      <c r="B14" s="14" t="inlineStr">
        <is>
          <t>General Service to Service Communication Security</t>
        </is>
      </c>
      <c r="C14" s="15" t="inlineStr">
        <is>
          <t>V12.3.3</t>
        </is>
      </c>
      <c r="D14" s="16" t="inlineStr">
        <is>
          <t>Verify that TLS or another appropriate transport encryption mechanism used for all connectivity between internal, HTTP-based services within the application, and does not fall back to insecure or unencrypted communications.</t>
        </is>
      </c>
      <c r="E14" s="17" t="n">
        <v>2</v>
      </c>
      <c r="F14" s="18" t="inlineStr">
        <is>
          <t>Not Started</t>
        </is>
      </c>
      <c r="G14" s="16" t="inlineStr">
        <is>
          <t>Applicable to Kryptos due to internal service-to-service communication that must also be encrypted.</t>
        </is>
      </c>
      <c r="H14" s="16" t="n"/>
    </row>
    <row r="15" ht="39" customHeight="1">
      <c r="A15" s="19" t="inlineStr">
        <is>
          <t>V12.3</t>
        </is>
      </c>
      <c r="B15" s="19" t="inlineStr">
        <is>
          <t>General Service to Service Communication Security</t>
        </is>
      </c>
      <c r="C15" s="20" t="inlineStr">
        <is>
          <t>V12.3.4</t>
        </is>
      </c>
      <c r="D15" s="21"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17" t="n">
        <v>2</v>
      </c>
      <c r="F15" s="18" t="inlineStr">
        <is>
          <t>Not Started</t>
        </is>
      </c>
      <c r="G15" s="21" t="inlineStr">
        <is>
          <t>Applicable to Kryptos due to the possible use of internal CAs for backend services.</t>
        </is>
      </c>
      <c r="H15" s="21" t="n"/>
    </row>
    <row r="16" ht="37" customHeight="1">
      <c r="A16" s="14" t="inlineStr">
        <is>
          <t>V12.3</t>
        </is>
      </c>
      <c r="B16" s="14" t="inlineStr">
        <is>
          <t>General Service to Service Communication Security</t>
        </is>
      </c>
      <c r="C16" s="15" t="inlineStr">
        <is>
          <t>V12.3.5</t>
        </is>
      </c>
      <c r="D16" s="16"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23" t="n">
        <v>3</v>
      </c>
      <c r="F16" s="18" t="inlineStr">
        <is>
          <t>Not Started</t>
        </is>
      </c>
      <c r="G16" s="16" t="inlineStr">
        <is>
          <t>Applicable to Kryptos due to the highly sensitive traffic between the API and the key store.</t>
        </is>
      </c>
      <c r="H16" s="16" t="n"/>
    </row>
  </sheetData>
  <autoFilter ref="F1:F16">
    <filterColumn colId="0" hiddenButton="0" showButton="1">
      <filters blank="1">
        <filter val="Not Started"/>
      </filters>
    </filterColumn>
  </autoFilter>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4.xml><?xml version="1.0" encoding="utf-8"?>
<worksheet xmlns="http://schemas.openxmlformats.org/spreadsheetml/2006/main">
  <sheetPr>
    <outlinePr summaryBelow="1" summaryRight="1"/>
    <pageSetUpPr/>
  </sheetPr>
  <dimension ref="A1:H26"/>
  <sheetViews>
    <sheetView tabSelected="1" zoomScale="125" zoomScaleNormal="75" workbookViewId="0">
      <pane ySplit="1" topLeftCell="A13" activePane="bottomLeft" state="frozen"/>
      <selection pane="bottomLeft" activeCell="F5" sqref="F5"/>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V13.1</t>
        </is>
      </c>
      <c r="B2" s="13" t="inlineStr">
        <is>
          <t>Configuration Documentation</t>
        </is>
      </c>
      <c r="C2" s="13" t="n"/>
      <c r="D2" s="13" t="n"/>
      <c r="E2" s="13" t="n"/>
      <c r="F2" s="13" t="n"/>
      <c r="G2" s="13" t="n"/>
      <c r="H2" s="13" t="n"/>
    </row>
    <row r="3" ht="30" customHeight="1">
      <c r="A3" s="14" t="inlineStr">
        <is>
          <t>V13.1</t>
        </is>
      </c>
      <c r="B3" s="14" t="inlineStr">
        <is>
          <t>Configuration Documentation</t>
        </is>
      </c>
      <c r="C3" s="15" t="inlineStr">
        <is>
          <t>V13.1.1</t>
        </is>
      </c>
      <c r="D3" s="16"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17" t="n">
        <v>2</v>
      </c>
      <c r="F3" s="18" t="inlineStr">
        <is>
          <t>In Progress</t>
        </is>
      </c>
      <c r="G3" s="16" t="inlineStr">
        <is>
          <t>Applicable to Kryptos due to the need to document all external communication paths.</t>
        </is>
      </c>
      <c r="H3" s="16" t="n"/>
    </row>
    <row r="4" ht="45" customHeight="1">
      <c r="A4" s="19" t="inlineStr">
        <is>
          <t>V13.1</t>
        </is>
      </c>
      <c r="B4" s="19" t="inlineStr">
        <is>
          <t>Configuration Documentation</t>
        </is>
      </c>
      <c r="C4" s="20" t="inlineStr">
        <is>
          <t>V13.1.2</t>
        </is>
      </c>
      <c r="D4" s="21"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23" t="n">
        <v>3</v>
      </c>
      <c r="F4" s="18" t="inlineStr">
        <is>
          <t>Not Started</t>
        </is>
      </c>
      <c r="G4" s="21" t="inlineStr">
        <is>
          <t>Applicable to Kryptos due to its dependencies on external components such as the database and the key vault.</t>
        </is>
      </c>
      <c r="H4" s="21" t="n"/>
    </row>
    <row r="5" ht="30" customHeight="1">
      <c r="A5" s="14" t="inlineStr">
        <is>
          <t>V13.1</t>
        </is>
      </c>
      <c r="B5" s="14" t="inlineStr">
        <is>
          <t>Configuration Documentation</t>
        </is>
      </c>
      <c r="C5" s="15" t="inlineStr">
        <is>
          <t>V13.1.3</t>
        </is>
      </c>
      <c r="D5" s="16"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23" t="n">
        <v>3</v>
      </c>
      <c r="F5" s="18" t="inlineStr">
        <is>
          <t>Compliant</t>
        </is>
      </c>
      <c r="G5" s="16" t="inlineStr">
        <is>
          <t>Applicable to Kryptos due to the sensitive data flows already documented in the threat model.</t>
        </is>
      </c>
      <c r="H5" s="16" t="n"/>
    </row>
    <row r="6" ht="30" customHeight="1">
      <c r="A6" s="19" t="inlineStr">
        <is>
          <t>V13.1</t>
        </is>
      </c>
      <c r="B6" s="19" t="inlineStr">
        <is>
          <t>Configuration Documentation</t>
        </is>
      </c>
      <c r="C6" s="20" t="inlineStr">
        <is>
          <t>V13.1.4</t>
        </is>
      </c>
      <c r="D6" s="21" t="inlineStr">
        <is>
          <t>Verify that the application's documentation defines the secrets that are critical for the security of the application and a schedule for rotating them, based on the organization's threat model and business requirements.</t>
        </is>
      </c>
      <c r="E6" s="23" t="n">
        <v>3</v>
      </c>
      <c r="F6" s="18" t="inlineStr">
        <is>
          <t>Not Started</t>
        </is>
      </c>
      <c r="G6" s="21" t="inlineStr">
        <is>
          <t>Applicable to Kryptos due to the presence of several critical secrets that require rotation scheduling.</t>
        </is>
      </c>
      <c r="H6" s="21" t="n"/>
    </row>
    <row r="7" ht="18" customHeight="1">
      <c r="A7" s="13" t="inlineStr">
        <is>
          <t>V13.2</t>
        </is>
      </c>
      <c r="B7" s="13" t="inlineStr">
        <is>
          <t>Backend Communication Configuration</t>
        </is>
      </c>
      <c r="C7" s="13" t="n"/>
      <c r="D7" s="13" t="n"/>
      <c r="E7" s="13" t="n"/>
      <c r="F7" s="13" t="n"/>
      <c r="G7" s="13" t="n"/>
      <c r="H7" s="13" t="n"/>
    </row>
    <row r="8" ht="50" customHeight="1">
      <c r="A8" s="14" t="inlineStr">
        <is>
          <t>V13.2</t>
        </is>
      </c>
      <c r="B8" s="14" t="inlineStr">
        <is>
          <t>Backend Communication Configuration</t>
        </is>
      </c>
      <c r="C8" s="15" t="inlineStr">
        <is>
          <t>V13.2.1</t>
        </is>
      </c>
      <c r="D8" s="16"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17" t="n">
        <v>2</v>
      </c>
      <c r="F8" s="18" t="inlineStr">
        <is>
          <t>Not Started</t>
        </is>
      </c>
      <c r="G8" s="16" t="inlineStr">
        <is>
          <t>Applicable to Kryptos due to backend communications requiring authenticated service accounts.</t>
        </is>
      </c>
      <c r="H8" s="16" t="n"/>
    </row>
    <row r="9" ht="30" customHeight="1">
      <c r="A9" s="19" t="inlineStr">
        <is>
          <t>V13.2</t>
        </is>
      </c>
      <c r="B9" s="19" t="inlineStr">
        <is>
          <t>Backend Communication Configuration</t>
        </is>
      </c>
      <c r="C9" s="20" t="inlineStr">
        <is>
          <t>V13.2.2</t>
        </is>
      </c>
      <c r="D9" s="21" t="inlineStr">
        <is>
          <t>Verify that communications between backend application components, including local or operating system services, APIs, middleware, and data layers, are performed with accounts assigned the least necessary privileges.</t>
        </is>
      </c>
      <c r="E9" s="17" t="n">
        <v>2</v>
      </c>
      <c r="F9" s="18" t="inlineStr">
        <is>
          <t>Not Started</t>
        </is>
      </c>
      <c r="G9" s="21" t="inlineStr">
        <is>
          <t>Applicable to Kryptos due to backend components needing least-privilege credentials.</t>
        </is>
      </c>
      <c r="H9" s="21" t="n"/>
    </row>
    <row r="10" ht="30" customHeight="1">
      <c r="A10" s="14" t="inlineStr">
        <is>
          <t>V13.2</t>
        </is>
      </c>
      <c r="B10" s="14" t="inlineStr">
        <is>
          <t>Backend Communication Configuration</t>
        </is>
      </c>
      <c r="C10" s="15" t="inlineStr">
        <is>
          <t>V13.2.3</t>
        </is>
      </c>
      <c r="D10" s="16" t="inlineStr">
        <is>
          <t>Verify that if a credential has to be used for service authentication, the credential being used by the consumer is not a default credential (e.g., root/root or admin/admin).</t>
        </is>
      </c>
      <c r="E10" s="17" t="n">
        <v>2</v>
      </c>
      <c r="F10" s="18" t="inlineStr">
        <is>
          <t>Not Started</t>
        </is>
      </c>
      <c r="G10" s="16" t="inlineStr">
        <is>
          <t>Applicable to Kryptos due to the risk posed by shipping default or example credentials.</t>
        </is>
      </c>
      <c r="H10" s="16" t="n"/>
    </row>
    <row r="11" ht="30" customHeight="1">
      <c r="A11" s="19" t="inlineStr">
        <is>
          <t>V13.2</t>
        </is>
      </c>
      <c r="B11" s="19" t="inlineStr">
        <is>
          <t>Backend Communication Configuration</t>
        </is>
      </c>
      <c r="C11" s="20" t="inlineStr">
        <is>
          <t>V13.2.4</t>
        </is>
      </c>
      <c r="D11" s="21"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17" t="n">
        <v>2</v>
      </c>
      <c r="F11" s="18" t="inlineStr">
        <is>
          <t>Not Started</t>
        </is>
      </c>
      <c r="G11" s="21" t="inlineStr">
        <is>
          <t>Applicable to Kryptos due to the need to restrict outbound connections to known trusted hosts.</t>
        </is>
      </c>
      <c r="H11" s="21" t="n"/>
    </row>
    <row r="12" ht="30" customHeight="1">
      <c r="A12" s="14" t="inlineStr">
        <is>
          <t>V13.2</t>
        </is>
      </c>
      <c r="B12" s="14" t="inlineStr">
        <is>
          <t>Backend Communication Configuration</t>
        </is>
      </c>
      <c r="C12" s="15" t="inlineStr">
        <is>
          <t>V13.2.5</t>
        </is>
      </c>
      <c r="D12" s="16" t="inlineStr">
        <is>
          <t>Verify that the web or application server is configured with an allowlist of resources or systems to which the server can send requests or load data or files from.</t>
        </is>
      </c>
      <c r="E12" s="17" t="n">
        <v>2</v>
      </c>
      <c r="F12" s="18" t="inlineStr">
        <is>
          <t>Not Started</t>
        </is>
      </c>
      <c r="G12" s="16" t="inlineStr">
        <is>
          <t>Applicable to Kryptos due to the server requiring an allowlist of permitted outbound destinations.</t>
        </is>
      </c>
      <c r="H12" s="16" t="n"/>
    </row>
    <row r="13" ht="30" customHeight="1">
      <c r="A13" s="19" t="inlineStr">
        <is>
          <t>V13.2</t>
        </is>
      </c>
      <c r="B13" s="19" t="inlineStr">
        <is>
          <t>Backend Communication Configuration</t>
        </is>
      </c>
      <c r="C13" s="20" t="inlineStr">
        <is>
          <t>V13.2.6</t>
        </is>
      </c>
      <c r="D13" s="21"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23" t="n">
        <v>3</v>
      </c>
      <c r="F13" s="18" t="inlineStr">
        <is>
          <t>Not Started</t>
        </is>
      </c>
      <c r="G13" s="21" t="inlineStr">
        <is>
          <t>Applicable to Kryptos due to internal traffic that must not be trusted implicitly.</t>
        </is>
      </c>
      <c r="H13" s="21" t="n"/>
    </row>
    <row r="14" ht="18" customHeight="1">
      <c r="A14" s="13" t="inlineStr">
        <is>
          <t>V13.3</t>
        </is>
      </c>
      <c r="B14" s="13" t="inlineStr">
        <is>
          <t>Secret Management</t>
        </is>
      </c>
      <c r="C14" s="13" t="n"/>
      <c r="D14" s="13" t="n"/>
      <c r="E14" s="13" t="n"/>
      <c r="F14" s="13" t="n"/>
      <c r="G14" s="13" t="n"/>
      <c r="H14" s="13" t="n"/>
    </row>
    <row r="15" ht="50" customHeight="1">
      <c r="A15" s="14" t="inlineStr">
        <is>
          <t>V13.3</t>
        </is>
      </c>
      <c r="B15" s="14" t="inlineStr">
        <is>
          <t>Secret Management</t>
        </is>
      </c>
      <c r="C15" s="15" t="inlineStr">
        <is>
          <t>V13.3.1</t>
        </is>
      </c>
      <c r="D15" s="16"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17" t="n">
        <v>2</v>
      </c>
      <c r="F15" s="18" t="inlineStr">
        <is>
          <t>Not Started</t>
        </is>
      </c>
      <c r="G15" s="16" t="inlineStr">
        <is>
          <t>Applicable to Kryptos due to the presence of multiple high-value secrets that cannot live in source code.</t>
        </is>
      </c>
      <c r="H15" s="16" t="n"/>
    </row>
    <row r="16" ht="30" customHeight="1">
      <c r="A16" s="19" t="inlineStr">
        <is>
          <t>V13.3</t>
        </is>
      </c>
      <c r="B16" s="19" t="inlineStr">
        <is>
          <t>Secret Management</t>
        </is>
      </c>
      <c r="C16" s="20" t="inlineStr">
        <is>
          <t>V13.3.2</t>
        </is>
      </c>
      <c r="D16" s="21" t="inlineStr">
        <is>
          <t>Verify that access to secret assets adheres to the principle of least privilege.</t>
        </is>
      </c>
      <c r="E16" s="17" t="n">
        <v>2</v>
      </c>
      <c r="F16" s="18" t="inlineStr">
        <is>
          <t>Not Started</t>
        </is>
      </c>
      <c r="G16" s="21" t="inlineStr">
        <is>
          <t>Applicable to Kryptos due to the sensitivity of the vault secrets accessed by the API.</t>
        </is>
      </c>
      <c r="H16" s="21" t="n"/>
    </row>
    <row r="17" ht="48" customHeight="1">
      <c r="A17" s="14" t="inlineStr">
        <is>
          <t>V13.3</t>
        </is>
      </c>
      <c r="B17" s="14" t="inlineStr">
        <is>
          <t>Secret Management</t>
        </is>
      </c>
      <c r="C17" s="15" t="inlineStr">
        <is>
          <t>V13.3.3</t>
        </is>
      </c>
      <c r="D17" s="16" t="inlineStr">
        <is>
          <t>Verify that all cryptographic operations are performed using an isolated security module (such as a vault or hardware security module) to securely manage and protect key material from exposure outside of the security module.</t>
        </is>
      </c>
      <c r="E17" s="23" t="n">
        <v>3</v>
      </c>
      <c r="F17" s="18" t="inlineStr">
        <is>
          <t>Not Started</t>
        </is>
      </c>
      <c r="G17" s="16" t="inlineStr">
        <is>
          <t>Applicable to Kryptos due to cryptographic operations benefiting from running in an isolated trust boundary.</t>
        </is>
      </c>
      <c r="H17" s="16" t="n"/>
    </row>
    <row r="18" ht="30" customHeight="1">
      <c r="A18" s="19" t="inlineStr">
        <is>
          <t>V13.3</t>
        </is>
      </c>
      <c r="B18" s="19" t="inlineStr">
        <is>
          <t>Secret Management</t>
        </is>
      </c>
      <c r="C18" s="20" t="inlineStr">
        <is>
          <t>V13.3.4</t>
        </is>
      </c>
      <c r="D18" s="21" t="inlineStr">
        <is>
          <t>Verify that secrets are configured to expire and be rotated based on the application's documentation.</t>
        </is>
      </c>
      <c r="E18" s="23" t="n">
        <v>3</v>
      </c>
      <c r="F18" s="18" t="inlineStr">
        <is>
          <t>Not Started</t>
        </is>
      </c>
      <c r="G18" s="21" t="inlineStr">
        <is>
          <t>Applicable to Kryptos due to the need for secret rotation over the lifetime of the system.</t>
        </is>
      </c>
      <c r="H18" s="21" t="n"/>
    </row>
    <row r="19" ht="18" customHeight="1">
      <c r="A19" s="13" t="inlineStr">
        <is>
          <t>V13.4</t>
        </is>
      </c>
      <c r="B19" s="13" t="inlineStr">
        <is>
          <t>Unintended Information Leakage</t>
        </is>
      </c>
      <c r="C19" s="13" t="n"/>
      <c r="D19" s="13" t="n"/>
      <c r="E19" s="13" t="n"/>
      <c r="F19" s="13" t="n"/>
      <c r="G19" s="13" t="n"/>
      <c r="H19" s="13" t="n"/>
    </row>
    <row r="20" ht="51" customHeight="1">
      <c r="A20" s="14" t="inlineStr">
        <is>
          <t>V13.4</t>
        </is>
      </c>
      <c r="B20" s="14" t="inlineStr">
        <is>
          <t>Unintended Information Leakage</t>
        </is>
      </c>
      <c r="C20" s="15" t="inlineStr">
        <is>
          <t>V13.4.1</t>
        </is>
      </c>
      <c r="D20" s="16" t="inlineStr">
        <is>
          <t>Verify that the application is deployed either without any source control metadata, including the .git or .svn folders, or in a way that these folders are inaccessible both externally and to the application itself.</t>
        </is>
      </c>
      <c r="E20" s="22" t="n">
        <v>1</v>
      </c>
      <c r="F20" s="18" t="inlineStr">
        <is>
          <t>Not Started</t>
        </is>
      </c>
      <c r="G20" s="16" t="inlineStr">
        <is>
          <t>Applicable to Kryptos due to the risk of leaking source-control metadata in production deployments.</t>
        </is>
      </c>
      <c r="H20" s="16" t="n"/>
    </row>
    <row r="21" ht="30" customHeight="1">
      <c r="A21" s="19" t="inlineStr">
        <is>
          <t>V13.4</t>
        </is>
      </c>
      <c r="B21" s="19" t="inlineStr">
        <is>
          <t>Unintended Information Leakage</t>
        </is>
      </c>
      <c r="C21" s="20" t="inlineStr">
        <is>
          <t>V13.4.2</t>
        </is>
      </c>
      <c r="D21" s="21" t="inlineStr">
        <is>
          <t>Verify that debug modes are disabled for all components in production environments to prevent exposure of debugging features and information leakage.</t>
        </is>
      </c>
      <c r="E21" s="17" t="n">
        <v>2</v>
      </c>
      <c r="F21" s="18" t="inlineStr">
        <is>
          <t>Compliant</t>
        </is>
      </c>
      <c r="G21" s="21" t="inlineStr">
        <is>
          <t>Debug surface is disabled in application.properties: spring.jpa.show-sql=false; logging.level.com.kryptos=INFO; logging.level.org.springframework.security=WARN. No Spring Boot Actuator dependency is declared.</t>
        </is>
      </c>
      <c r="H21" s="21" t="inlineStr">
        <is>
          <t>backend/src/main/resources/application.properties; backend/pom.xml</t>
        </is>
      </c>
    </row>
    <row r="22" ht="30" customHeight="1">
      <c r="A22" s="14" t="inlineStr">
        <is>
          <t>V13.4</t>
        </is>
      </c>
      <c r="B22" s="14" t="inlineStr">
        <is>
          <t>Unintended Information Leakage</t>
        </is>
      </c>
      <c r="C22" s="15" t="inlineStr">
        <is>
          <t>V13.4.3</t>
        </is>
      </c>
      <c r="D22" s="16" t="inlineStr">
        <is>
          <t>Verify that web servers do not expose directory listings to clients unless explicitly intended.</t>
        </is>
      </c>
      <c r="E22" s="17" t="n">
        <v>2</v>
      </c>
      <c r="F22" s="18" t="inlineStr">
        <is>
          <t>Compliant</t>
        </is>
      </c>
      <c r="G22" s="16" t="inlineStr">
        <is>
          <t>Spring MVC does not expose directory listings by default and no static resource handler is registered that would expose one.</t>
        </is>
      </c>
      <c r="H22" s="16" t="inlineStr">
        <is>
          <t>SecurityConfig.java; KryptosApplication.java</t>
        </is>
      </c>
    </row>
    <row r="23" ht="30" customHeight="1">
      <c r="A23" s="19" t="inlineStr">
        <is>
          <t>V13.4</t>
        </is>
      </c>
      <c r="B23" s="19" t="inlineStr">
        <is>
          <t>Unintended Information Leakage</t>
        </is>
      </c>
      <c r="C23" s="20" t="inlineStr">
        <is>
          <t>V13.4.4</t>
        </is>
      </c>
      <c r="D23" s="21" t="inlineStr">
        <is>
          <t>Verify that using the HTTP TRACE method is not supported in production environments, to avoid potential information leakage.</t>
        </is>
      </c>
      <c r="E23" s="17" t="n">
        <v>2</v>
      </c>
      <c r="F23" s="18" t="inlineStr">
        <is>
          <t>Compliant</t>
        </is>
      </c>
      <c r="G23" s="21" t="inlineStr">
        <is>
          <t>HTTP TRACE is not registered as a request mapping; Tomcat (Spring Boot default embedded container) disables TRACE by default.</t>
        </is>
      </c>
      <c r="H23" s="21" t="inlineStr">
        <is>
          <t>Spring Boot defaults</t>
        </is>
      </c>
    </row>
    <row r="24" ht="52" customHeight="1">
      <c r="A24" s="14" t="inlineStr">
        <is>
          <t>V13.4</t>
        </is>
      </c>
      <c r="B24" s="14" t="inlineStr">
        <is>
          <t>Unintended Information Leakage</t>
        </is>
      </c>
      <c r="C24" s="15" t="inlineStr">
        <is>
          <t>V13.4.5</t>
        </is>
      </c>
      <c r="D24" s="16" t="inlineStr">
        <is>
          <t>Verify that documentation (such as for internal APIs) and monitoring endpoints are not exposed unless explicitly intended.</t>
        </is>
      </c>
      <c r="E24" s="17" t="n">
        <v>2</v>
      </c>
      <c r="F24" s="18" t="inlineStr">
        <is>
          <t>Not Started</t>
        </is>
      </c>
      <c r="G24" s="16" t="inlineStr">
        <is>
          <t>Applicable to Kryptos due to internal documentation and monitoring endpoints that must not be publicly exposed.</t>
        </is>
      </c>
      <c r="H24" s="16" t="n"/>
    </row>
    <row r="25" ht="30" customHeight="1">
      <c r="A25" s="19" t="inlineStr">
        <is>
          <t>V13.4</t>
        </is>
      </c>
      <c r="B25" s="19" t="inlineStr">
        <is>
          <t>Unintended Information Leakage</t>
        </is>
      </c>
      <c r="C25" s="20" t="inlineStr">
        <is>
          <t>V13.4.6</t>
        </is>
      </c>
      <c r="D25" s="21" t="inlineStr">
        <is>
          <t>Verify that the application does not expose detailed version information of backend components.</t>
        </is>
      </c>
      <c r="E25" s="23" t="n">
        <v>3</v>
      </c>
      <c r="F25" s="18" t="inlineStr">
        <is>
          <t>Not Started</t>
        </is>
      </c>
      <c r="G25" s="21" t="inlineStr">
        <is>
          <t>Applicable to Kryptos due to error responses possibly leaking internal system data.</t>
        </is>
      </c>
      <c r="H25" s="21" t="n"/>
    </row>
    <row r="26" ht="30" customHeight="1">
      <c r="A26" s="14" t="inlineStr">
        <is>
          <t>V13.4</t>
        </is>
      </c>
      <c r="B26" s="14" t="inlineStr">
        <is>
          <t>Unintended Information Leakage</t>
        </is>
      </c>
      <c r="C26" s="15" t="inlineStr">
        <is>
          <t>V13.4.7</t>
        </is>
      </c>
      <c r="D26" s="16" t="inlineStr">
        <is>
          <t>Verify that the web tier is configured to only serve files with specific file extensions to prevent unintentional information, configuration, and source code leakage.</t>
        </is>
      </c>
      <c r="E26" s="23" t="n">
        <v>3</v>
      </c>
      <c r="F26" s="18" t="inlineStr">
        <is>
          <t>Not Started</t>
        </is>
      </c>
      <c r="G26" s="16" t="inlineStr">
        <is>
          <t>Applicable to Kryptos due to server-identifying headers enabling fingerprinting.</t>
        </is>
      </c>
      <c r="H26" s="16" t="n"/>
    </row>
  </sheetData>
  <autoFilter ref="F1:F26"/>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5.xml><?xml version="1.0" encoding="utf-8"?>
<worksheet xmlns="http://schemas.openxmlformats.org/spreadsheetml/2006/main">
  <sheetPr>
    <outlinePr summaryBelow="1" summaryRight="1"/>
    <pageSetUpPr/>
  </sheetPr>
  <dimension ref="A1:M17"/>
  <sheetViews>
    <sheetView topLeftCell="C1" zoomScale="137" zoomScaleNormal="75" workbookViewId="0">
      <pane ySplit="1" topLeftCell="A2" activePane="bottomLeft" state="frozen"/>
      <selection pane="bottomLeft" activeCell="I3" sqref="I3:M4"/>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V14.1</t>
        </is>
      </c>
      <c r="B2" s="13" t="inlineStr">
        <is>
          <t>Data Protection Documentation</t>
        </is>
      </c>
      <c r="C2" s="13" t="n"/>
      <c r="D2" s="13" t="n"/>
      <c r="E2" s="13" t="n"/>
      <c r="F2" s="13" t="n"/>
      <c r="G2" s="13" t="n"/>
      <c r="H2" s="13" t="n"/>
    </row>
    <row r="3" ht="30" customHeight="1">
      <c r="A3" s="14" t="inlineStr">
        <is>
          <t>V14.1</t>
        </is>
      </c>
      <c r="B3" s="14" t="inlineStr">
        <is>
          <t>Data Protection Documentation</t>
        </is>
      </c>
      <c r="C3" s="15" t="inlineStr">
        <is>
          <t>V14.1.1</t>
        </is>
      </c>
      <c r="D3" s="16"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17" t="n">
        <v>2</v>
      </c>
      <c r="F3" s="18" t="inlineStr">
        <is>
          <t>In Progress</t>
        </is>
      </c>
      <c r="G3" s="44" t="inlineStr">
        <is>
          <t>Highly applicable to Kryptos due to the processing of passwords, credentials, tokens, temporary files, and audit data. Sensitive data should be identified and classified into protection levels according to its confidentiality, integrity, and privacy requirements.</t>
        </is>
      </c>
      <c r="H3" s="16" t="n"/>
      <c r="I3" s="32" t="n"/>
    </row>
    <row r="4" ht="30" customHeight="1">
      <c r="A4" s="19" t="inlineStr">
        <is>
          <t>V14.1</t>
        </is>
      </c>
      <c r="B4" s="19" t="inlineStr">
        <is>
          <t>Data Protection Documentation</t>
        </is>
      </c>
      <c r="C4" s="20" t="inlineStr">
        <is>
          <t>V14.1.2</t>
        </is>
      </c>
      <c r="D4" s="21"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17" t="n">
        <v>2</v>
      </c>
      <c r="F4" s="18" t="inlineStr">
        <is>
          <t>In Progress</t>
        </is>
      </c>
      <c r="G4" s="44" t="inlineStr">
        <is>
          <t>Highly applicable to Kryptos. Each sensitive data protection level should have documented protection requirements, including encryption, integrity, retention, logging restrictions, access control, and secure storage in the database and temporary file handling.</t>
        </is>
      </c>
      <c r="H4" s="21" t="n"/>
      <c r="I4" s="47" t="n"/>
    </row>
    <row r="5" ht="18" customHeight="1">
      <c r="A5" s="13" t="inlineStr">
        <is>
          <t>V14.2</t>
        </is>
      </c>
      <c r="B5" s="13" t="inlineStr">
        <is>
          <t>General Data Protection</t>
        </is>
      </c>
      <c r="C5" s="13" t="n"/>
      <c r="D5" s="13" t="n"/>
      <c r="E5" s="13" t="n"/>
      <c r="F5" s="13" t="n"/>
      <c r="G5" s="29" t="n"/>
      <c r="H5" s="13" t="n"/>
    </row>
    <row r="6" ht="30" customHeight="1">
      <c r="A6" s="14" t="inlineStr">
        <is>
          <t>V14.2</t>
        </is>
      </c>
      <c r="B6" s="14" t="inlineStr">
        <is>
          <t>General Data Protection</t>
        </is>
      </c>
      <c r="C6" s="15" t="inlineStr">
        <is>
          <t>V14.2.1</t>
        </is>
      </c>
      <c r="D6" s="16" t="inlineStr">
        <is>
          <t>Verify that sensitive data is only sent to the server in the HTTP message body or header fields, and that the URL and query string do not contain sensitive information, such as an API key or session token.</t>
        </is>
      </c>
      <c r="E6" s="22" t="n">
        <v>1</v>
      </c>
      <c r="F6" s="18" t="inlineStr">
        <is>
          <t>In Progress</t>
        </is>
      </c>
      <c r="G6" s="27" t="inlineStr">
        <is>
          <t>Highly applicable to Kryptos, since credentials and other sensitive authentication-related data must never be included in the URL or query string. A suitable approach is to ensure that such data is sent only in HTTP bodies or secure header fields.</t>
        </is>
      </c>
      <c r="H6" s="16" t="n"/>
      <c r="I6" s="32" t="n"/>
    </row>
    <row r="7" ht="30" customHeight="1">
      <c r="A7" s="19" t="inlineStr">
        <is>
          <t>V14.2</t>
        </is>
      </c>
      <c r="B7" s="19" t="inlineStr">
        <is>
          <t>General Data Protection</t>
        </is>
      </c>
      <c r="C7" s="20" t="inlineStr">
        <is>
          <t>V14.2.2</t>
        </is>
      </c>
      <c r="D7" s="21" t="inlineStr">
        <is>
          <t>Verify that the application prevents sensitive data from being cached in server components, such as load balancers and application caches, or ensures that the data is securely purged after use.</t>
        </is>
      </c>
      <c r="E7" s="17" t="n">
        <v>2</v>
      </c>
      <c r="F7" s="18" t="inlineStr">
        <is>
          <t>Not Applicable</t>
        </is>
      </c>
      <c r="G7" s="44" t="n"/>
      <c r="H7" s="21" t="n"/>
      <c r="I7" s="41" t="n"/>
    </row>
    <row r="8" ht="30" customHeight="1">
      <c r="A8" s="14" t="inlineStr">
        <is>
          <t>V14.2</t>
        </is>
      </c>
      <c r="B8" s="14" t="inlineStr">
        <is>
          <t>General Data Protection</t>
        </is>
      </c>
      <c r="C8" s="15" t="inlineStr">
        <is>
          <t>V14.2.3</t>
        </is>
      </c>
      <c r="D8" s="16" t="inlineStr">
        <is>
          <t>Verify that defined sensitive data is not sent to untrusted parties (e.g., user trackers) to prevent unwanted collection of data outside of the application's control.</t>
        </is>
      </c>
      <c r="E8" s="17" t="n">
        <v>2</v>
      </c>
      <c r="F8" s="18" t="inlineStr">
        <is>
          <t>In Progress</t>
        </is>
      </c>
      <c r="G8" s="27" t="inlineStr">
        <is>
          <t>Highly applicable to Kryptos, since the system handles highly sensitive information such as credentials and authentication-related data. Sensitive data should never be transmitted to untrusted third parties or external services outside the application's control, in order to avoid unauthorized collection, exposure, or misuse.</t>
        </is>
      </c>
      <c r="H8" s="16" t="n"/>
      <c r="I8" s="41" t="n"/>
    </row>
    <row r="9" ht="30" customHeight="1">
      <c r="A9" s="19" t="inlineStr">
        <is>
          <t>V14.2</t>
        </is>
      </c>
      <c r="B9" s="19" t="inlineStr">
        <is>
          <t>General Data Protection</t>
        </is>
      </c>
      <c r="C9" s="20" t="inlineStr">
        <is>
          <t>V14.2.4</t>
        </is>
      </c>
      <c r="D9" s="21"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17" t="n">
        <v>2</v>
      </c>
      <c r="F9" s="18" t="inlineStr">
        <is>
          <t>In Progress</t>
        </is>
      </c>
      <c r="G9" s="44" t="inlineStr">
        <is>
          <t>Highly applicable to Kryptos due to the need to protect credentials, authentication-related data, temporary files, and audit records according to their sensitivity. This should be addressed by documenting, for each protection level, the expected controls for encryption, integrity verification, retention, logging restrictions, access control over logged sensitive data, and other privacy-related safeguards.</t>
        </is>
      </c>
      <c r="H9" s="21" t="n"/>
      <c r="I9" s="41" t="n"/>
    </row>
    <row r="10" ht="30" customHeight="1">
      <c r="A10" s="14" t="inlineStr">
        <is>
          <t>V14.2</t>
        </is>
      </c>
      <c r="B10" s="14" t="inlineStr">
        <is>
          <t>General Data Protection</t>
        </is>
      </c>
      <c r="C10" s="15" t="inlineStr">
        <is>
          <t>V14.2.5</t>
        </is>
      </c>
      <c r="D10" s="16"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23" t="n">
        <v>3</v>
      </c>
      <c r="F10" s="18" t="inlineStr">
        <is>
          <t>Not Applicable</t>
        </is>
      </c>
      <c r="G10" s="16" t="n"/>
      <c r="H10" s="16" t="n"/>
    </row>
    <row r="11" ht="30" customHeight="1">
      <c r="A11" s="19" t="inlineStr">
        <is>
          <t>V14.2</t>
        </is>
      </c>
      <c r="B11" s="19" t="inlineStr">
        <is>
          <t>General Data Protection</t>
        </is>
      </c>
      <c r="C11" s="20" t="inlineStr">
        <is>
          <t>V14.2.6</t>
        </is>
      </c>
      <c r="D11" s="21"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23" t="n">
        <v>3</v>
      </c>
      <c r="F11" s="18" t="inlineStr">
        <is>
          <t>Not Applicable</t>
        </is>
      </c>
      <c r="G11" s="21" t="n"/>
      <c r="H11" s="21" t="n"/>
    </row>
    <row r="12" ht="30" customHeight="1">
      <c r="A12" s="14" t="inlineStr">
        <is>
          <t>V14.2</t>
        </is>
      </c>
      <c r="B12" s="14" t="inlineStr">
        <is>
          <t>General Data Protection</t>
        </is>
      </c>
      <c r="C12" s="15" t="inlineStr">
        <is>
          <t>V14.2.7</t>
        </is>
      </c>
      <c r="D12" s="16" t="inlineStr">
        <is>
          <t>Verify that sensitive information is subject to data retention classification, ensuring that outdated or unnecessary data is deleted automatically, on a defined schedule, or as the situation requires.</t>
        </is>
      </c>
      <c r="E12" s="23" t="n">
        <v>3</v>
      </c>
      <c r="F12" s="18" t="inlineStr">
        <is>
          <t>In Progress</t>
        </is>
      </c>
      <c r="G12" s="27" t="inlineStr">
        <is>
          <t>Highly applicable to Kryptos, especially due to the handling of temporary files generated during import and export operations, as well as other potentially outdated sensitive records. This requirement should be addressed through defined data retention and deletion policies, including automatic removal schedules where appropriate and secure wipe procedures for temporary sensitive data.</t>
        </is>
      </c>
      <c r="H12" s="16" t="n"/>
      <c r="I12" s="43" t="n"/>
    </row>
    <row r="13" ht="30" customHeight="1">
      <c r="A13" s="19" t="inlineStr">
        <is>
          <t>V14.2</t>
        </is>
      </c>
      <c r="B13" s="19" t="inlineStr">
        <is>
          <t>General Data Protection</t>
        </is>
      </c>
      <c r="C13" s="20" t="inlineStr">
        <is>
          <t>V14.2.8</t>
        </is>
      </c>
      <c r="D13" s="21" t="inlineStr">
        <is>
          <t>Verify that sensitive information is removed from the metadata of user-submitted files unless storage is consented to by the user.</t>
        </is>
      </c>
      <c r="E13" s="23" t="n">
        <v>3</v>
      </c>
      <c r="F13" s="18" t="inlineStr">
        <is>
          <t>In Progress</t>
        </is>
      </c>
      <c r="G13" s="44" t="inlineStr">
        <is>
          <t>Highly applicable to Kryptos, especially in import/export workflows. File metadata should be minimized or removed whenever it may expose sensitive information, unless its retention is explicitly required and consented to.</t>
        </is>
      </c>
      <c r="H13" s="21" t="n"/>
      <c r="I13" s="32" t="n"/>
    </row>
    <row r="14" ht="18" customHeight="1">
      <c r="A14" s="13" t="inlineStr">
        <is>
          <t>V14.3</t>
        </is>
      </c>
      <c r="B14" s="13" t="inlineStr">
        <is>
          <t>Client-side Data Protection</t>
        </is>
      </c>
      <c r="C14" s="13" t="n"/>
      <c r="D14" s="13" t="n"/>
      <c r="E14" s="13" t="n"/>
      <c r="F14" s="13" t="n"/>
      <c r="G14" s="29" t="n"/>
      <c r="H14" s="13" t="n"/>
    </row>
    <row r="15" ht="30" customHeight="1">
      <c r="A15" s="14" t="inlineStr">
        <is>
          <t>V14.3</t>
        </is>
      </c>
      <c r="B15" s="14" t="inlineStr">
        <is>
          <t>Client-side Data Protection</t>
        </is>
      </c>
      <c r="C15" s="15" t="inlineStr">
        <is>
          <t>V14.3.1</t>
        </is>
      </c>
      <c r="D15" s="16"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22" t="n">
        <v>1</v>
      </c>
      <c r="F15" s="18" t="inlineStr">
        <is>
          <t>Not Applicable</t>
        </is>
      </c>
      <c r="G15" s="16" t="n"/>
      <c r="H15" s="16" t="n"/>
    </row>
    <row r="16" ht="30" customHeight="1">
      <c r="A16" s="19" t="inlineStr">
        <is>
          <t>V14.3</t>
        </is>
      </c>
      <c r="B16" s="19" t="inlineStr">
        <is>
          <t>Client-side Data Protection</t>
        </is>
      </c>
      <c r="C16" s="20" t="inlineStr">
        <is>
          <t>V14.3.2</t>
        </is>
      </c>
      <c r="D16" s="21" t="inlineStr">
        <is>
          <t>Verify that the application sets sufficient anti-caching HTTP response header fields (i.e., Cache-Control: no-store) so that sensitive data is not cached in browsers.</t>
        </is>
      </c>
      <c r="E16" s="17" t="n">
        <v>2</v>
      </c>
      <c r="F16" s="18" t="inlineStr">
        <is>
          <t>Compliant</t>
        </is>
      </c>
      <c r="G16" s="44" t="inlineStr">
        <is>
          <t>The export endpoint sets Cache-Control: no-store and X-Content-Type-Options: nosniff on the credential download. JSON endpoints rely on the browser default of not caching authenticated XHR responses.</t>
        </is>
      </c>
      <c r="H16" s="21" t="inlineStr">
        <is>
          <t>ImportExportController.exportCredentials</t>
        </is>
      </c>
      <c r="I16" s="36" t="n"/>
    </row>
    <row r="17" ht="30" customHeight="1">
      <c r="A17" s="14" t="inlineStr">
        <is>
          <t>V14.3</t>
        </is>
      </c>
      <c r="B17" s="14" t="inlineStr">
        <is>
          <t>Client-side Data Protection</t>
        </is>
      </c>
      <c r="C17" s="15" t="inlineStr">
        <is>
          <t>V14.3.3</t>
        </is>
      </c>
      <c r="D17" s="16" t="inlineStr">
        <is>
          <t>Verify that data stored in browser storage (such as localStorage, sessionStorage, IndexedDB, or cookies) does not contain sensitive data, with the exception of session tokens.</t>
        </is>
      </c>
      <c r="E17" s="17" t="n">
        <v>2</v>
      </c>
      <c r="F17" s="18" t="inlineStr">
        <is>
          <t>Not Applicable</t>
        </is>
      </c>
      <c r="G17" s="16" t="n"/>
      <c r="H17" s="16" t="n"/>
    </row>
  </sheetData>
  <mergeCells count="8">
    <mergeCell ref="I9:M9"/>
    <mergeCell ref="I12:M12"/>
    <mergeCell ref="I3:M4"/>
    <mergeCell ref="I7:M7"/>
    <mergeCell ref="I6:M6"/>
    <mergeCell ref="I16:M16"/>
    <mergeCell ref="I13:M13"/>
    <mergeCell ref="I8:M8"/>
  </mergeCells>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6.xml><?xml version="1.0" encoding="utf-8"?>
<worksheet xmlns="http://schemas.openxmlformats.org/spreadsheetml/2006/main">
  <sheetPr>
    <outlinePr summaryBelow="1" summaryRight="1"/>
    <pageSetUpPr/>
  </sheetPr>
  <dimension ref="A1:L26"/>
  <sheetViews>
    <sheetView topLeftCell="D1" zoomScale="75" zoomScaleNormal="75" workbookViewId="0">
      <pane ySplit="1" topLeftCell="A7" activePane="bottomLeft" state="frozen"/>
      <selection pane="bottomLeft" activeCell="M28" sqref="M28"/>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V15.1</t>
        </is>
      </c>
      <c r="B2" s="13" t="inlineStr">
        <is>
          <t>Secure Coding and Architecture Documentation</t>
        </is>
      </c>
      <c r="C2" s="13" t="n"/>
      <c r="D2" s="13" t="n"/>
      <c r="E2" s="13" t="n"/>
      <c r="F2" s="13" t="n"/>
      <c r="G2" s="13" t="n"/>
      <c r="H2" s="13" t="n"/>
    </row>
    <row r="3" ht="30" customHeight="1">
      <c r="A3" s="14" t="inlineStr">
        <is>
          <t>V15.1</t>
        </is>
      </c>
      <c r="B3" s="14" t="inlineStr">
        <is>
          <t>Secure Coding and Architecture Documentation</t>
        </is>
      </c>
      <c r="C3" s="15" t="inlineStr">
        <is>
          <t>V15.1.1</t>
        </is>
      </c>
      <c r="D3" s="16" t="inlineStr">
        <is>
          <t>Verify that application documentation defines risk based remediation time frames for 3rd party component versions with vulnerabilities and for updating libraries in general, to minimize the risk from these components.</t>
        </is>
      </c>
      <c r="E3" s="22" t="n">
        <v>1</v>
      </c>
      <c r="F3" s="18" t="inlineStr">
        <is>
          <t>Not Started</t>
        </is>
      </c>
      <c r="G3" s="44" t="inlineStr">
        <is>
          <t>Applicable to Kryptos due to the expected use of third-party libraries for backend development, database access, authentication support, file handling, and security-related features. This requirement may be addressed by documenting risk-based remediation time frames for vulnerable components and by defining update priorities according to severity and potential impact on the application.</t>
        </is>
      </c>
      <c r="H3" s="16" t="n"/>
      <c r="I3" s="32" t="n"/>
    </row>
    <row r="4" ht="30" customHeight="1">
      <c r="A4" s="19" t="inlineStr">
        <is>
          <t>V15.1</t>
        </is>
      </c>
      <c r="B4" s="19" t="inlineStr">
        <is>
          <t>Secure Coding and Architecture Documentation</t>
        </is>
      </c>
      <c r="C4" s="20" t="inlineStr">
        <is>
          <t>V15.1.2</t>
        </is>
      </c>
      <c r="D4" s="21" t="inlineStr">
        <is>
          <t>Verify that an inventory catalog, such as software bill of materials (SBOM), is maintained of all third-party libraries in use, including verifying that components come from pre-defined, trusted, and continually maintained repositories.</t>
        </is>
      </c>
      <c r="E4" s="17" t="n">
        <v>2</v>
      </c>
      <c r="F4" s="18" t="inlineStr">
        <is>
          <t>In Progress</t>
        </is>
      </c>
      <c r="G4" s="44" t="inlineStr">
        <is>
          <t>backend/pom.xml is the authoritative dependency manifest; OWASP Dependency-Check runs in CI and produces HTML/JSON/XML reports listing every third-party component with version + CVE metadata. A formal CycloneDX SBOM publication is still pending.</t>
        </is>
      </c>
      <c r="H4" s="21" t="inlineStr">
        <is>
          <t>.github/workflows/ci.yml#sca; backend/pom.xml</t>
        </is>
      </c>
      <c r="I4" s="47" t="n"/>
    </row>
    <row r="5" ht="30" customHeight="1">
      <c r="A5" s="14" t="inlineStr">
        <is>
          <t>V15.1</t>
        </is>
      </c>
      <c r="B5" s="14" t="inlineStr">
        <is>
          <t>Secure Coding and Architecture Documentation</t>
        </is>
      </c>
      <c r="C5" s="15" t="inlineStr">
        <is>
          <t>V15.1.3</t>
        </is>
      </c>
      <c r="D5" s="16"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17" t="n">
        <v>2</v>
      </c>
      <c r="F5" s="18" t="inlineStr">
        <is>
          <t>Not Started</t>
        </is>
      </c>
      <c r="G5" s="44" t="inlineStr">
        <is>
          <t>Applicable to Kryptos due to potentially resource-demanding operations such as credential import/export, temporary file generation, secure wipe procedures, and audit-related processing. This requirement may be addressed by documenting such operations and by considering controls such as request limits, controlled concurrency, asynchronous processing, or queue-based handling to reduce availability risks.</t>
        </is>
      </c>
      <c r="H5" s="16" t="n"/>
      <c r="I5" s="47" t="n"/>
    </row>
    <row r="6" ht="30" customHeight="1">
      <c r="A6" s="19" t="inlineStr">
        <is>
          <t>V15.1</t>
        </is>
      </c>
      <c r="B6" s="19" t="inlineStr">
        <is>
          <t>Secure Coding and Architecture Documentation</t>
        </is>
      </c>
      <c r="C6" s="20" t="inlineStr">
        <is>
          <t>V15.1.4</t>
        </is>
      </c>
      <c r="D6" s="21" t="inlineStr">
        <is>
          <t>Verify that application documentation highlights third-party libraries which are considered to be "risky components".</t>
        </is>
      </c>
      <c r="E6" s="23" t="n">
        <v>3</v>
      </c>
      <c r="F6" s="18" t="inlineStr">
        <is>
          <t>Not Started</t>
        </is>
      </c>
      <c r="G6" s="44" t="inlineStr">
        <is>
          <t>Applicable to Kryptos due to its expected reliance on external libraries for security-sensitive or system-level functionality. This may be addressed by identifying third-party components with elevated risk, such as libraries related to authentication, cryptography, file handling, or operating system interaction, and documenting their risk relevance for future review and monitoring.</t>
        </is>
      </c>
      <c r="H6" s="21" t="n"/>
      <c r="I6" s="47" t="n"/>
    </row>
    <row r="7" ht="30" customHeight="1">
      <c r="A7" s="14" t="inlineStr">
        <is>
          <t>V15.1</t>
        </is>
      </c>
      <c r="B7" s="14" t="inlineStr">
        <is>
          <t>Secure Coding and Architecture Documentation</t>
        </is>
      </c>
      <c r="C7" s="15" t="inlineStr">
        <is>
          <t>V15.1.5</t>
        </is>
      </c>
      <c r="D7" s="16" t="inlineStr">
        <is>
          <t>Verify that application documentation highlights parts of the application where "dangerous functionality" is being used.</t>
        </is>
      </c>
      <c r="E7" s="23" t="n">
        <v>3</v>
      </c>
      <c r="F7" s="18" t="inlineStr">
        <is>
          <t>Not Started</t>
        </is>
      </c>
      <c r="G7" s="44" t="inlineStr">
        <is>
          <t>Highly applicable to Kryptos because the application includes sensitive and potentially dangerous functionality, particularly in operating system interaction, temporary file handling, import/export workflows, and secure wipe procedures. This requirement may be addressed by explicitly documenting these high-risk areas and the safeguards expected around their use.</t>
        </is>
      </c>
      <c r="H7" s="16" t="n"/>
      <c r="I7" s="47" t="n"/>
    </row>
    <row r="8" ht="18" customHeight="1">
      <c r="A8" s="13" t="inlineStr">
        <is>
          <t>V15.2</t>
        </is>
      </c>
      <c r="B8" s="13" t="inlineStr">
        <is>
          <t>Security Architecture and Dependencies</t>
        </is>
      </c>
      <c r="C8" s="13" t="n"/>
      <c r="D8" s="13" t="n"/>
      <c r="E8" s="13" t="n"/>
      <c r="F8" s="13" t="n"/>
      <c r="G8" s="13" t="n"/>
      <c r="H8" s="13" t="n"/>
    </row>
    <row r="9" ht="30" customHeight="1">
      <c r="A9" s="14" t="inlineStr">
        <is>
          <t>V15.2</t>
        </is>
      </c>
      <c r="B9" s="14" t="inlineStr">
        <is>
          <t>Security Architecture and Dependencies</t>
        </is>
      </c>
      <c r="C9" s="15" t="inlineStr">
        <is>
          <t>V15.2.1</t>
        </is>
      </c>
      <c r="D9" s="16" t="inlineStr">
        <is>
          <t>Verify that the application only contains components which have not breached the documented update and remediation time frames.</t>
        </is>
      </c>
      <c r="E9" s="22" t="n">
        <v>1</v>
      </c>
      <c r="F9" s="18" t="inlineStr">
        <is>
          <t>In Progress</t>
        </is>
      </c>
      <c r="G9" s="44" t="inlineStr">
        <is>
          <t>OWASP Dependency-Check is integrated in the SAST job (failBuildOnCVSS=9). It currently runs with continue-on-error=true while the backlog is triaged; tightening to fail on CVSS≥7 is on the Sprint 3 list.</t>
        </is>
      </c>
      <c r="H9" s="16" t="inlineStr">
        <is>
          <t>.github/workflows/ci.yml#sca; backend/pom.xml#dependency-check-maven</t>
        </is>
      </c>
      <c r="I9" s="32" t="n"/>
    </row>
    <row r="10" ht="30" customHeight="1">
      <c r="A10" s="19" t="inlineStr">
        <is>
          <t>V15.2</t>
        </is>
      </c>
      <c r="B10" s="19" t="inlineStr">
        <is>
          <t>Security Architecture and Dependencies</t>
        </is>
      </c>
      <c r="C10" s="20" t="inlineStr">
        <is>
          <t>V15.2.2</t>
        </is>
      </c>
      <c r="D10" s="21" t="inlineStr">
        <is>
          <t>Verify that the application has implemented defenses against loss of availability due to functionality which is time-consuming or resource-demanding, based on the documented security decisions and strategies for this.</t>
        </is>
      </c>
      <c r="E10" s="17" t="n">
        <v>2</v>
      </c>
      <c r="F10" s="18" t="inlineStr">
        <is>
          <t>Not Applicable</t>
        </is>
      </c>
      <c r="G10" s="21" t="n"/>
      <c r="H10" s="21" t="n"/>
      <c r="I10" s="47" t="n"/>
    </row>
    <row r="11" ht="30" customHeight="1">
      <c r="A11" s="14" t="inlineStr">
        <is>
          <t>V15.2</t>
        </is>
      </c>
      <c r="B11" s="14" t="inlineStr">
        <is>
          <t>Security Architecture and Dependencies</t>
        </is>
      </c>
      <c r="C11" s="15" t="inlineStr">
        <is>
          <t>V15.2.3</t>
        </is>
      </c>
      <c r="D11" s="16" t="inlineStr">
        <is>
          <t>Verify that the production environment only includes functionality that is required for the application to function, and does not expose extraneous functionality such as test code, sample snippets, and development functionality.</t>
        </is>
      </c>
      <c r="E11" s="17" t="n">
        <v>2</v>
      </c>
      <c r="F11" s="18" t="inlineStr">
        <is>
          <t>Not Started</t>
        </is>
      </c>
      <c r="G11" s="44" t="inlineStr">
        <is>
          <t>Highly applicable to Kryptos, especially because the production environment should expose only the functionality strictly necessary for secure operation. This may be addressed by excluding development-only features, test code, sample content, debugging endpoints, and any unnecessary operating system functionality from the production deployment.</t>
        </is>
      </c>
      <c r="H11" s="16" t="n"/>
      <c r="I11" s="47" t="n"/>
    </row>
    <row r="12" ht="30" customHeight="1">
      <c r="A12" s="19" t="inlineStr">
        <is>
          <t>V15.2</t>
        </is>
      </c>
      <c r="B12" s="19" t="inlineStr">
        <is>
          <t>Security Architecture and Dependencies</t>
        </is>
      </c>
      <c r="C12" s="20" t="inlineStr">
        <is>
          <t>V15.2.4</t>
        </is>
      </c>
      <c r="D12" s="21" t="inlineStr">
        <is>
          <t>Verify that third-party components and all of their transitive dependencies are included from the expected repository, whether internally owned or an external source, and that there is no risk of a dependency confusion attack.</t>
        </is>
      </c>
      <c r="E12" s="23" t="n">
        <v>3</v>
      </c>
      <c r="F12" s="18" t="inlineStr">
        <is>
          <t>Not Applicable</t>
        </is>
      </c>
      <c r="G12" s="21" t="n"/>
      <c r="H12" s="21" t="n"/>
    </row>
    <row r="13" ht="30" customHeight="1">
      <c r="A13" s="14" t="inlineStr">
        <is>
          <t>V15.2</t>
        </is>
      </c>
      <c r="B13" s="14" t="inlineStr">
        <is>
          <t>Security Architecture and Dependencies</t>
        </is>
      </c>
      <c r="C13" s="15" t="inlineStr">
        <is>
          <t>V15.2.5</t>
        </is>
      </c>
      <c r="D13" s="16"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23" t="n">
        <v>3</v>
      </c>
      <c r="F13" s="18" t="inlineStr">
        <is>
          <t>Not Applicable</t>
        </is>
      </c>
      <c r="G13" s="16" t="n"/>
      <c r="H13" s="16" t="n"/>
    </row>
    <row r="14" ht="18" customHeight="1">
      <c r="A14" s="13" t="inlineStr">
        <is>
          <t>V15.3</t>
        </is>
      </c>
      <c r="B14" s="13" t="inlineStr">
        <is>
          <t>Defensive Coding</t>
        </is>
      </c>
      <c r="C14" s="13" t="n"/>
      <c r="D14" s="13" t="n"/>
      <c r="E14" s="13" t="n"/>
      <c r="F14" s="13" t="n"/>
      <c r="G14" s="13" t="n"/>
      <c r="H14" s="13" t="n"/>
    </row>
    <row r="15" ht="30" customHeight="1">
      <c r="A15" s="14" t="inlineStr">
        <is>
          <t>V15.3</t>
        </is>
      </c>
      <c r="B15" s="14" t="inlineStr">
        <is>
          <t>Defensive Coding</t>
        </is>
      </c>
      <c r="C15" s="15" t="inlineStr">
        <is>
          <t>V15.3.1</t>
        </is>
      </c>
      <c r="D15" s="16" t="inlineStr">
        <is>
          <t>Verify that the application only returns the required subset of fields from a data object. For example, it should not return an entire data object, as some individual fields should not be accessible to users.</t>
        </is>
      </c>
      <c r="E15" s="22" t="n">
        <v>1</v>
      </c>
      <c r="F15" s="18" t="inlineStr">
        <is>
          <t>Compliant</t>
        </is>
      </c>
      <c r="G15" s="44" t="inlineStr">
        <is>
          <t>Response DTOs select only the fields appropriate for the caller (e.g., CredentialResponse omits encryptedPassword; UserResponse omits password hash). The exception handler returns a generic 500 message with no entity payload.</t>
        </is>
      </c>
      <c r="H15" s="16" t="inlineStr">
        <is>
          <t>CredentialResponse.java; UserResponse.java; GlobalExceptionHandler.handleGeneric</t>
        </is>
      </c>
      <c r="I15" s="32" t="n"/>
    </row>
    <row r="16" ht="30" customHeight="1">
      <c r="A16" s="19" t="inlineStr">
        <is>
          <t>V15.3</t>
        </is>
      </c>
      <c r="B16" s="19" t="inlineStr">
        <is>
          <t>Defensive Coding</t>
        </is>
      </c>
      <c r="C16" s="20" t="inlineStr">
        <is>
          <t>V15.3.2</t>
        </is>
      </c>
      <c r="D16" s="21" t="inlineStr">
        <is>
          <t>Verify that where the application backend makes calls to external URLs, it is configured to not follow redirects unless it is intended functionality.</t>
        </is>
      </c>
      <c r="E16" s="17" t="n">
        <v>2</v>
      </c>
      <c r="F16" s="18" t="inlineStr">
        <is>
          <t>Not Applicable</t>
        </is>
      </c>
      <c r="G16" s="21" t="n"/>
      <c r="H16" s="21" t="n"/>
    </row>
    <row r="17" ht="30" customHeight="1">
      <c r="A17" s="14" t="inlineStr">
        <is>
          <t>V15.3</t>
        </is>
      </c>
      <c r="B17" s="14" t="inlineStr">
        <is>
          <t>Defensive Coding</t>
        </is>
      </c>
      <c r="C17" s="15" t="inlineStr">
        <is>
          <t>V15.3.3</t>
        </is>
      </c>
      <c r="D17" s="16"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17" t="n">
        <v>2</v>
      </c>
      <c r="F17" s="18" t="inlineStr">
        <is>
          <t>Compliant</t>
        </is>
      </c>
      <c r="G17" s="44" t="inlineStr">
        <is>
          <t>Mass-assignment is structurally impossible: every controller receives a Java record DTO listing exactly the fields the user may set. RegisterRequest exposes (username, email, password) — no role; UpdateRoleRequest exposes only role and is gated by @PreAuthorize hasRole(ADMIN).</t>
        </is>
      </c>
      <c r="H17" s="35" t="inlineStr">
        <is>
          <t>RegisterRequest.java; UpdateRoleRequest.java; UserController#updateUserRole</t>
        </is>
      </c>
      <c r="I17" s="32" t="n"/>
    </row>
    <row r="18" ht="30" customHeight="1">
      <c r="A18" s="19" t="inlineStr">
        <is>
          <t>V15.3</t>
        </is>
      </c>
      <c r="B18" s="19" t="inlineStr">
        <is>
          <t>Defensive Coding</t>
        </is>
      </c>
      <c r="C18" s="20" t="inlineStr">
        <is>
          <t>V15.3.4</t>
        </is>
      </c>
      <c r="D18" s="21"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17" t="n">
        <v>2</v>
      </c>
      <c r="F18" s="18" t="inlineStr">
        <is>
          <t>Not Applicable</t>
        </is>
      </c>
      <c r="G18" s="21" t="n"/>
      <c r="H18" s="21" t="n"/>
    </row>
    <row r="19" ht="30" customHeight="1">
      <c r="A19" s="14" t="inlineStr">
        <is>
          <t>V15.3</t>
        </is>
      </c>
      <c r="B19" s="14" t="inlineStr">
        <is>
          <t>Defensive Coding</t>
        </is>
      </c>
      <c r="C19" s="15" t="inlineStr">
        <is>
          <t>V15.3.5</t>
        </is>
      </c>
      <c r="D19" s="16"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17" t="n">
        <v>2</v>
      </c>
      <c r="F19" s="18" t="inlineStr">
        <is>
          <t>Not Started</t>
        </is>
      </c>
      <c r="G19" s="44" t="inlineStr">
        <is>
          <t>Applicable to Kryptos as a general secure coding requirement, especially in authentication, authorization, input validation, and data-processing logic. This requirement may be addressed by enforcing type safety, validating expected data types explicitly, and using strict equality and comparison operations to reduce the risk of type confusion or type juggling vulnerabilities.</t>
        </is>
      </c>
      <c r="H19" s="16" t="n"/>
      <c r="I19" s="34" t="n"/>
    </row>
    <row r="20" ht="30" customHeight="1">
      <c r="A20" s="19" t="inlineStr">
        <is>
          <t>V15.3</t>
        </is>
      </c>
      <c r="B20" s="19" t="inlineStr">
        <is>
          <t>Defensive Coding</t>
        </is>
      </c>
      <c r="C20" s="20" t="inlineStr">
        <is>
          <t>V15.3.6</t>
        </is>
      </c>
      <c r="D20" s="21" t="inlineStr">
        <is>
          <t>Verify that JavaScript code is written in a way that prevents prototype pollution, for example, by using Set() or Map() instead of object literals.</t>
        </is>
      </c>
      <c r="E20" s="17" t="n">
        <v>2</v>
      </c>
      <c r="F20" s="18" t="inlineStr">
        <is>
          <t>Not Applicable</t>
        </is>
      </c>
      <c r="G20" s="21" t="n"/>
      <c r="H20" s="21" t="n"/>
    </row>
    <row r="21" ht="30" customHeight="1">
      <c r="A21" s="14" t="inlineStr">
        <is>
          <t>V15.3</t>
        </is>
      </c>
      <c r="B21" s="14" t="inlineStr">
        <is>
          <t>Defensive Coding</t>
        </is>
      </c>
      <c r="C21" s="15" t="inlineStr">
        <is>
          <t>V15.3.7</t>
        </is>
      </c>
      <c r="D21" s="16" t="inlineStr">
        <is>
          <t>Verify that the application has defenses against HTTP parameter pollution attacks, particularly if the application framework makes no distinction about the source of request parameters (query string, body parameters, cookies, or header fields).</t>
        </is>
      </c>
      <c r="E21" s="17" t="n">
        <v>2</v>
      </c>
      <c r="F21" s="18" t="inlineStr">
        <is>
          <t>Not Applicable</t>
        </is>
      </c>
      <c r="G21" s="16" t="n"/>
      <c r="H21" s="16" t="n"/>
    </row>
    <row r="22" ht="18" customHeight="1">
      <c r="A22" s="13" t="inlineStr">
        <is>
          <t>V15.4</t>
        </is>
      </c>
      <c r="B22" s="13" t="inlineStr">
        <is>
          <t>Safe Concurrency</t>
        </is>
      </c>
      <c r="C22" s="13" t="n"/>
      <c r="D22" s="13" t="n"/>
      <c r="E22" s="13" t="n"/>
      <c r="F22" s="13" t="n"/>
      <c r="G22" s="29" t="n"/>
      <c r="H22" s="13" t="n"/>
    </row>
    <row r="23" ht="30" customHeight="1">
      <c r="A23" s="14" t="inlineStr">
        <is>
          <t>V15.4</t>
        </is>
      </c>
      <c r="B23" s="14" t="inlineStr">
        <is>
          <t>Safe Concurrency</t>
        </is>
      </c>
      <c r="C23" s="15" t="inlineStr">
        <is>
          <t>V15.4.1</t>
        </is>
      </c>
      <c r="D23" s="16"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23" t="n">
        <v>3</v>
      </c>
      <c r="F23" s="18" t="inlineStr">
        <is>
          <t>Not Applicable</t>
        </is>
      </c>
      <c r="G23" s="16" t="n"/>
      <c r="H23" s="16" t="n"/>
      <c r="I23" s="32" t="n"/>
    </row>
    <row r="24" ht="30" customHeight="1">
      <c r="A24" s="19" t="inlineStr">
        <is>
          <t>V15.4</t>
        </is>
      </c>
      <c r="B24" s="19" t="inlineStr">
        <is>
          <t>Safe Concurrency</t>
        </is>
      </c>
      <c r="C24" s="20" t="inlineStr">
        <is>
          <t>V15.4.2</t>
        </is>
      </c>
      <c r="D24" s="21"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23" t="n">
        <v>3</v>
      </c>
      <c r="F24" s="18" t="inlineStr">
        <is>
          <t>Not Started</t>
        </is>
      </c>
      <c r="G24" s="45" t="inlineStr">
        <is>
          <t>Highly applicable to Kryptos, especially in operations involving file handling, temporary file deletion, and access-controlled resources such as vaults and credentials. This requirement may be addressed by ensuring that security-relevant checks and the corresponding actions are performed as closely and atomically as possible, in order to reduce TOCTOU-related risks.</t>
        </is>
      </c>
      <c r="H24" s="21" t="n"/>
      <c r="I24" s="47" t="n"/>
    </row>
    <row r="25" ht="30" customHeight="1">
      <c r="A25" s="14" t="inlineStr">
        <is>
          <t>V15.4</t>
        </is>
      </c>
      <c r="B25" s="14" t="inlineStr">
        <is>
          <t>Safe Concurrency</t>
        </is>
      </c>
      <c r="C25" s="15" t="inlineStr">
        <is>
          <t>V15.4.3</t>
        </is>
      </c>
      <c r="D25" s="16"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23" t="n">
        <v>3</v>
      </c>
      <c r="F25" s="18" t="inlineStr">
        <is>
          <t>Not Applicable</t>
        </is>
      </c>
      <c r="G25" s="16" t="n"/>
      <c r="H25" s="16" t="n"/>
      <c r="I25" s="47" t="n"/>
    </row>
    <row r="26" ht="30" customHeight="1">
      <c r="A26" s="19" t="inlineStr">
        <is>
          <t>V15.4</t>
        </is>
      </c>
      <c r="B26" s="19" t="inlineStr">
        <is>
          <t>Safe Concurrency</t>
        </is>
      </c>
      <c r="C26" s="20" t="inlineStr">
        <is>
          <t>V15.4.4</t>
        </is>
      </c>
      <c r="D26" s="21" t="inlineStr">
        <is>
          <t>Verify that resource allocation policies prevent thread starvation by ensuring fair access to resources, such as by leveraging thread pools, allowing lower-priority threads to proceed within a reasonable timeframe.</t>
        </is>
      </c>
      <c r="E26" s="23" t="n">
        <v>3</v>
      </c>
      <c r="F26" s="18" t="inlineStr">
        <is>
          <t>Not Applicable</t>
        </is>
      </c>
      <c r="G26" s="21" t="n"/>
      <c r="H26" s="21" t="n"/>
      <c r="I26" s="47" t="n"/>
    </row>
  </sheetData>
  <mergeCells count="6">
    <mergeCell ref="I17:L17"/>
    <mergeCell ref="I23:L26"/>
    <mergeCell ref="I3:L7"/>
    <mergeCell ref="I15:L15"/>
    <mergeCell ref="I19:L19"/>
    <mergeCell ref="I9:L11"/>
  </mergeCells>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7.xml><?xml version="1.0" encoding="utf-8"?>
<worksheet xmlns="http://schemas.openxmlformats.org/spreadsheetml/2006/main">
  <sheetPr>
    <outlinePr summaryBelow="1" summaryRight="1"/>
    <pageSetUpPr/>
  </sheetPr>
  <dimension ref="A1:L23"/>
  <sheetViews>
    <sheetView topLeftCell="D1" zoomScale="133" zoomScaleNormal="75" workbookViewId="0">
      <pane ySplit="1" topLeftCell="A8" activePane="bottomLeft" state="frozen"/>
      <selection pane="bottomLeft" activeCell="G20" sqref="G20"/>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V16.1</t>
        </is>
      </c>
      <c r="B2" s="13" t="inlineStr">
        <is>
          <t>Security Logging Documentation</t>
        </is>
      </c>
      <c r="C2" s="13" t="n"/>
      <c r="D2" s="13" t="n"/>
      <c r="E2" s="13" t="n"/>
      <c r="F2" s="13" t="n"/>
      <c r="G2" s="13" t="n"/>
      <c r="H2" s="13" t="n"/>
      <c r="I2" s="36" t="n"/>
    </row>
    <row r="3" ht="30" customHeight="1">
      <c r="A3" s="14" t="inlineStr">
        <is>
          <t>V16.1</t>
        </is>
      </c>
      <c r="B3" s="14" t="inlineStr">
        <is>
          <t>Security Logging Documentation</t>
        </is>
      </c>
      <c r="C3" s="15" t="inlineStr">
        <is>
          <t>V16.1.1</t>
        </is>
      </c>
      <c r="D3" s="16"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17" t="n">
        <v>2</v>
      </c>
      <c r="F3" s="18" t="inlineStr">
        <is>
          <t>Not Started</t>
        </is>
      </c>
      <c r="G3" s="27" t="inlineStr">
        <is>
          <t>Highly applicable to Kryptos. Logging should be documented across the application layers, including logged events, formats, storage location, access control, intended use, and retention period.</t>
        </is>
      </c>
      <c r="H3" s="16" t="n"/>
      <c r="I3" s="34" t="n"/>
    </row>
    <row r="4" ht="18" customHeight="1">
      <c r="A4" s="13" t="inlineStr">
        <is>
          <t>V16.2</t>
        </is>
      </c>
      <c r="B4" s="13" t="inlineStr">
        <is>
          <t>General Logging</t>
        </is>
      </c>
      <c r="C4" s="13" t="n"/>
      <c r="D4" s="13" t="n"/>
      <c r="E4" s="13" t="n"/>
      <c r="F4" s="13" t="n"/>
      <c r="G4" s="13" t="n"/>
      <c r="H4" s="13" t="n"/>
    </row>
    <row r="5" ht="30" customHeight="1">
      <c r="A5" s="14" t="inlineStr">
        <is>
          <t>V16.2</t>
        </is>
      </c>
      <c r="B5" s="14" t="inlineStr">
        <is>
          <t>General Logging</t>
        </is>
      </c>
      <c r="C5" s="15" t="inlineStr">
        <is>
          <t>V16.2.1</t>
        </is>
      </c>
      <c r="D5" s="16" t="inlineStr">
        <is>
          <t>Verify that each log entry includes necessary metadata (such as when, where, who, what) that would allow for a detailed investigation of the timeline when an event happens.</t>
        </is>
      </c>
      <c r="E5" s="17" t="n">
        <v>2</v>
      </c>
      <c r="F5" s="18" t="inlineStr">
        <is>
          <t>In Progress</t>
        </is>
      </c>
      <c r="G5" s="44" t="inlineStr">
        <is>
          <t>Highly applicable to Kryptos. Log entries should include enough metadata to support investigation, namely when, who, what, and where the event occurred.</t>
        </is>
      </c>
      <c r="H5" s="16" t="n"/>
      <c r="I5" s="34" t="n"/>
    </row>
    <row r="6" ht="30" customHeight="1">
      <c r="A6" s="19" t="inlineStr">
        <is>
          <t>V16.2</t>
        </is>
      </c>
      <c r="B6" s="19" t="inlineStr">
        <is>
          <t>General Logging</t>
        </is>
      </c>
      <c r="C6" s="20" t="inlineStr">
        <is>
          <t>V16.2.2</t>
        </is>
      </c>
      <c r="D6" s="21"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17" t="n">
        <v>2</v>
      </c>
      <c r="F6" s="18" t="inlineStr">
        <is>
          <t>In Progress</t>
        </is>
      </c>
      <c r="G6" s="45" t="inlineStr">
        <is>
          <t>Highly applicable to Kryptos. Logging timestamps should be consistent across components and should use UTC or an explicit time zone offset to support reliable audit and investigation.</t>
        </is>
      </c>
      <c r="H6" s="21" t="n"/>
      <c r="I6" s="47" t="n"/>
    </row>
    <row r="7" ht="30" customHeight="1">
      <c r="A7" s="14" t="inlineStr">
        <is>
          <t>V16.2</t>
        </is>
      </c>
      <c r="B7" s="14" t="inlineStr">
        <is>
          <t>General Logging</t>
        </is>
      </c>
      <c r="C7" s="15" t="inlineStr">
        <is>
          <t>V16.2.3</t>
        </is>
      </c>
      <c r="D7" s="16" t="inlineStr">
        <is>
          <t>Verify that the application only stores or broadcasts logs to the files and services that are documented in the log inventory.</t>
        </is>
      </c>
      <c r="E7" s="17" t="n">
        <v>2</v>
      </c>
      <c r="F7" s="18" t="inlineStr">
        <is>
          <t>Not Applicable</t>
        </is>
      </c>
      <c r="G7" s="16" t="n"/>
      <c r="H7" s="16" t="n"/>
    </row>
    <row r="8" ht="30" customHeight="1">
      <c r="A8" s="19" t="inlineStr">
        <is>
          <t>V16.2</t>
        </is>
      </c>
      <c r="B8" s="19" t="inlineStr">
        <is>
          <t>General Logging</t>
        </is>
      </c>
      <c r="C8" s="20" t="inlineStr">
        <is>
          <t>V16.2.4</t>
        </is>
      </c>
      <c r="D8" s="21" t="inlineStr">
        <is>
          <t>Verify that logs can be read and correlated by the log processor that is in use, preferably by using a common logging format.</t>
        </is>
      </c>
      <c r="E8" s="17" t="n">
        <v>2</v>
      </c>
      <c r="F8" s="18" t="inlineStr">
        <is>
          <t>Not Applicable</t>
        </is>
      </c>
      <c r="G8" s="21" t="n"/>
      <c r="H8" s="21" t="n"/>
    </row>
    <row r="9" ht="30" customHeight="1">
      <c r="A9" s="14" t="inlineStr">
        <is>
          <t>V16.2</t>
        </is>
      </c>
      <c r="B9" s="14" t="inlineStr">
        <is>
          <t>General Logging</t>
        </is>
      </c>
      <c r="C9" s="15" t="inlineStr">
        <is>
          <t>V16.2.5</t>
        </is>
      </c>
      <c r="D9" s="16"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17" t="n">
        <v>2</v>
      </c>
      <c r="F9" s="18" t="inlineStr">
        <is>
          <t>Not Applicable</t>
        </is>
      </c>
      <c r="G9" s="16" t="n"/>
      <c r="H9" s="16" t="n"/>
    </row>
    <row r="10" ht="18" customHeight="1">
      <c r="A10" s="13" t="inlineStr">
        <is>
          <t>V16.3</t>
        </is>
      </c>
      <c r="B10" s="13" t="inlineStr">
        <is>
          <t>Security Events</t>
        </is>
      </c>
      <c r="C10" s="13" t="n"/>
      <c r="D10" s="13" t="n"/>
      <c r="E10" s="13" t="n"/>
      <c r="F10" s="13" t="n"/>
      <c r="G10" s="13" t="n"/>
      <c r="H10" s="13" t="n"/>
    </row>
    <row r="11" ht="30" customHeight="1">
      <c r="A11" s="14" t="inlineStr">
        <is>
          <t>V16.3</t>
        </is>
      </c>
      <c r="B11" s="14" t="inlineStr">
        <is>
          <t>Security Events</t>
        </is>
      </c>
      <c r="C11" s="15" t="inlineStr">
        <is>
          <t>V16.3.1</t>
        </is>
      </c>
      <c r="D11" s="16" t="inlineStr">
        <is>
          <t>Verify that all authentication operations are logged, including successful and unsuccessful attempts. Additional metadata, such as the type of authentication or factors used, should also be collected.</t>
        </is>
      </c>
      <c r="E11" s="17" t="n">
        <v>2</v>
      </c>
      <c r="F11" s="18" t="inlineStr">
        <is>
          <t>In Progress</t>
        </is>
      </c>
      <c r="G11" s="45" t="inlineStr">
        <is>
          <t>Highly applicable to Kryptos. Both successful and unsuccessful authentication attempts should be logged together with relevant metadata for audit and investigation.</t>
        </is>
      </c>
      <c r="H11" s="16" t="n"/>
      <c r="I11" s="32" t="n"/>
    </row>
    <row r="12" ht="30" customHeight="1">
      <c r="A12" s="19" t="inlineStr">
        <is>
          <t>V16.3</t>
        </is>
      </c>
      <c r="B12" s="19" t="inlineStr">
        <is>
          <t>Security Events</t>
        </is>
      </c>
      <c r="C12" s="20" t="inlineStr">
        <is>
          <t>V16.3.2</t>
        </is>
      </c>
      <c r="D12" s="21" t="inlineStr">
        <is>
          <t>Verify that failed authorization attempts are logged. For L3, this must include logging all authorization decisions, including logging when sensitive data is accessed (without logging the sensitive data itself).</t>
        </is>
      </c>
      <c r="E12" s="17" t="n">
        <v>2</v>
      </c>
      <c r="F12" s="18" t="inlineStr">
        <is>
          <t>In Progress</t>
        </is>
      </c>
      <c r="G12" s="45" t="inlineStr">
        <is>
          <t>Highly applicable to Kryptos. Failed authorization attempts and relevant access decisions over sensitive resources should be logged without exposing sensitive data in the logs.</t>
        </is>
      </c>
      <c r="H12" s="21" t="n"/>
      <c r="I12" s="47" t="n"/>
    </row>
    <row r="13" ht="30" customHeight="1">
      <c r="A13" s="14" t="inlineStr">
        <is>
          <t>V16.3</t>
        </is>
      </c>
      <c r="B13" s="14" t="inlineStr">
        <is>
          <t>Security Events</t>
        </is>
      </c>
      <c r="C13" s="15" t="inlineStr">
        <is>
          <t>V16.3.3</t>
        </is>
      </c>
      <c r="D13" s="16" t="inlineStr">
        <is>
          <t>Verify that the application logs the security events that are defined in the documentation and also logs attempts to bypass the security controls, such as input validation, business logic, and anti-automation.</t>
        </is>
      </c>
      <c r="E13" s="17" t="n">
        <v>2</v>
      </c>
      <c r="F13" s="18" t="inlineStr">
        <is>
          <t>In Progress</t>
        </is>
      </c>
      <c r="G13" s="45" t="inlineStr">
        <is>
          <t>Highly applicable to Kryptos. Security events and attempts to bypass security controls should be defined and included in the application logging strategy.</t>
        </is>
      </c>
      <c r="H13" s="16" t="n"/>
      <c r="I13" s="47" t="n"/>
    </row>
    <row r="14" ht="30" customHeight="1">
      <c r="A14" s="19" t="inlineStr">
        <is>
          <t>V16.3</t>
        </is>
      </c>
      <c r="B14" s="19" t="inlineStr">
        <is>
          <t>Security Events</t>
        </is>
      </c>
      <c r="C14" s="20" t="inlineStr">
        <is>
          <t>V16.3.4</t>
        </is>
      </c>
      <c r="D14" s="21" t="inlineStr">
        <is>
          <t>Verify that the application logs unexpected errors and security control failures such as backend TLS failures.</t>
        </is>
      </c>
      <c r="E14" s="17" t="n">
        <v>2</v>
      </c>
      <c r="F14" s="18" t="inlineStr">
        <is>
          <t>In Progress</t>
        </is>
      </c>
      <c r="G14" s="45" t="inlineStr">
        <is>
          <t>Highly applicable to Kryptos. Unexpected errors and security control failures should be logged to support monitoring, investigation, and incident response.</t>
        </is>
      </c>
      <c r="H14" s="21" t="n"/>
      <c r="I14" s="47" t="n"/>
    </row>
    <row r="15" ht="18" customHeight="1">
      <c r="A15" s="13" t="inlineStr">
        <is>
          <t>V16.4</t>
        </is>
      </c>
      <c r="B15" s="13" t="inlineStr">
        <is>
          <t>Log Protection</t>
        </is>
      </c>
      <c r="C15" s="13" t="n"/>
      <c r="D15" s="13" t="n"/>
      <c r="E15" s="13" t="n"/>
      <c r="F15" s="13" t="n"/>
      <c r="G15" s="13" t="n"/>
      <c r="H15" s="13" t="n"/>
    </row>
    <row r="16" ht="30" customHeight="1">
      <c r="A16" s="14" t="inlineStr">
        <is>
          <t>V16.4</t>
        </is>
      </c>
      <c r="B16" s="14" t="inlineStr">
        <is>
          <t>Log Protection</t>
        </is>
      </c>
      <c r="C16" s="15" t="inlineStr">
        <is>
          <t>V16.4.1</t>
        </is>
      </c>
      <c r="D16" s="16" t="inlineStr">
        <is>
          <t>Verify that all logging components appropriately encode data to prevent log injection.</t>
        </is>
      </c>
      <c r="E16" s="17" t="n">
        <v>2</v>
      </c>
      <c r="F16" s="18" t="inlineStr">
        <is>
          <t>Not Applicable</t>
        </is>
      </c>
      <c r="G16" s="16" t="n"/>
      <c r="H16" s="16" t="n"/>
    </row>
    <row r="17" ht="30" customHeight="1">
      <c r="A17" s="19" t="inlineStr">
        <is>
          <t>V16.4</t>
        </is>
      </c>
      <c r="B17" s="19" t="inlineStr">
        <is>
          <t>Log Protection</t>
        </is>
      </c>
      <c r="C17" s="20" t="inlineStr">
        <is>
          <t>V16.4.2</t>
        </is>
      </c>
      <c r="D17" s="21" t="inlineStr">
        <is>
          <t>Verify that logs are protected from unauthorized access and cannot be modified.</t>
        </is>
      </c>
      <c r="E17" s="17" t="n">
        <v>2</v>
      </c>
      <c r="F17" s="18" t="inlineStr">
        <is>
          <t>Compliant</t>
        </is>
      </c>
      <c r="G17" s="46" t="inlineStr">
        <is>
          <t>Audit logs are read-only over the API (AuditController has only GET endpoints, gated by hasAnyRole(ADMIN, AUDITOR)). AuditLog @PreUpdate / @PreRemove throw UnsupportedOperationException, blocking modification at the JPA layer. SHA-256 hash chain detects tampering.</t>
        </is>
      </c>
      <c r="H17" s="21" t="inlineStr">
        <is>
          <t>AuditController.java; AuditLog.java; AuditLogTest; AuditServiceTest.log_shouldBuildHashChain</t>
        </is>
      </c>
      <c r="I17" s="32" t="n"/>
    </row>
    <row r="18" ht="30" customHeight="1">
      <c r="A18" s="14" t="inlineStr">
        <is>
          <t>V16.4</t>
        </is>
      </c>
      <c r="B18" s="14" t="inlineStr">
        <is>
          <t>Log Protection</t>
        </is>
      </c>
      <c r="C18" s="15" t="inlineStr">
        <is>
          <t>V16.4.3</t>
        </is>
      </c>
      <c r="D18" s="16" t="inlineStr">
        <is>
          <t>Verify that logs are securely transmitted to a logically separate system for analysis, detection, alerting, and escalation. The aim is to ensure that if the application is breached, the logs are not compromised.</t>
        </is>
      </c>
      <c r="E18" s="17" t="n">
        <v>2</v>
      </c>
      <c r="F18" s="18" t="inlineStr">
        <is>
          <t>Not Started</t>
        </is>
      </c>
      <c r="G18" s="45" t="inlineStr">
        <is>
          <t>Highly applicable to Kryptos. Security-relevant logs should ideally be transmitted or preserved in a logically separate system or storage location to reduce the risk of compromise.</t>
        </is>
      </c>
      <c r="H18" s="16" t="n"/>
      <c r="I18" s="47" t="n"/>
    </row>
    <row r="19" ht="18" customHeight="1">
      <c r="A19" s="13" t="inlineStr">
        <is>
          <t>V16.5</t>
        </is>
      </c>
      <c r="B19" s="13" t="inlineStr">
        <is>
          <t>Error Handling</t>
        </is>
      </c>
      <c r="C19" s="13" t="n"/>
      <c r="D19" s="13" t="n"/>
      <c r="E19" s="13" t="n"/>
      <c r="F19" s="13" t="n"/>
      <c r="G19" s="13" t="n"/>
      <c r="H19" s="13" t="n"/>
    </row>
    <row r="20" ht="30" customHeight="1">
      <c r="A20" s="14" t="inlineStr">
        <is>
          <t>V16.5</t>
        </is>
      </c>
      <c r="B20" s="14" t="inlineStr">
        <is>
          <t>Error Handling</t>
        </is>
      </c>
      <c r="C20" s="15" t="inlineStr">
        <is>
          <t>V16.5.1</t>
        </is>
      </c>
      <c r="D20" s="16" t="inlineStr">
        <is>
          <t>Verify that a generic message is returned to the consumer when an unexpected or security-sensitive error occurs, ensuring no exposure of sensitive internal system data such as stack traces, queries, secret keys, and tokens.</t>
        </is>
      </c>
      <c r="E20" s="17" t="n">
        <v>2</v>
      </c>
      <c r="F20" s="18" t="inlineStr">
        <is>
          <t>Compliant</t>
        </is>
      </c>
      <c r="G20" s="25" t="inlineStr">
        <is>
          <t>GlobalExceptionHandler.handleGeneric returns {"error":"Internal server error"} with HTTP 500 for any uncategorized Exception, never propagating stack traces, SQL fragments or internal paths. EncryptionException and ResourceNotFoundException return generic messages.</t>
        </is>
      </c>
      <c r="H20" s="16" t="inlineStr">
        <is>
          <t>backend/src/main/java/com/kryptos/shared/exception/GlobalExceptionHandler.java</t>
        </is>
      </c>
      <c r="I20" s="34" t="n"/>
    </row>
    <row r="21" ht="30" customHeight="1">
      <c r="A21" s="19" t="inlineStr">
        <is>
          <t>V16.5</t>
        </is>
      </c>
      <c r="B21" s="19" t="inlineStr">
        <is>
          <t>Error Handling</t>
        </is>
      </c>
      <c r="C21" s="20" t="inlineStr">
        <is>
          <t>V16.5.2</t>
        </is>
      </c>
      <c r="D21" s="21" t="inlineStr">
        <is>
          <t>Verify that the application continues to operate securely when external resource access fails, for example, by using patterns such as circuit breakers or graceful degradation.</t>
        </is>
      </c>
      <c r="E21" s="17" t="n">
        <v>2</v>
      </c>
      <c r="F21" s="18" t="inlineStr">
        <is>
          <t>Not Applicable</t>
        </is>
      </c>
      <c r="G21" s="21" t="n"/>
      <c r="H21" s="21" t="n"/>
    </row>
    <row r="22" ht="30" customHeight="1">
      <c r="A22" s="14" t="inlineStr">
        <is>
          <t>V16.5</t>
        </is>
      </c>
      <c r="B22" s="14" t="inlineStr">
        <is>
          <t>Error Handling</t>
        </is>
      </c>
      <c r="C22" s="15" t="inlineStr">
        <is>
          <t>V16.5.3</t>
        </is>
      </c>
      <c r="D22" s="16" t="inlineStr">
        <is>
          <t>Verify that the application fails gracefully and securely, including when an exception occurs, preventing fail-open conditions such as processing a transaction despite errors resulting from validation logic.</t>
        </is>
      </c>
      <c r="E22" s="17" t="n">
        <v>2</v>
      </c>
      <c r="F22" s="18" t="inlineStr">
        <is>
          <t>Not Applicable</t>
        </is>
      </c>
      <c r="G22" s="16" t="n"/>
      <c r="H22" s="16" t="n"/>
    </row>
    <row r="23" ht="30" customHeight="1">
      <c r="A23" s="19" t="inlineStr">
        <is>
          <t>V16.5</t>
        </is>
      </c>
      <c r="B23" s="19" t="inlineStr">
        <is>
          <t>Error Handling</t>
        </is>
      </c>
      <c r="C23" s="20" t="inlineStr">
        <is>
          <t>V16.5.4</t>
        </is>
      </c>
      <c r="D23" s="21"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23" t="n">
        <v>3</v>
      </c>
      <c r="F23" s="18" t="inlineStr">
        <is>
          <t>Not Applicable</t>
        </is>
      </c>
      <c r="G23" s="21" t="n"/>
      <c r="H23" s="21" t="n"/>
    </row>
  </sheetData>
  <mergeCells count="6">
    <mergeCell ref="I5:L6"/>
    <mergeCell ref="I3:L3"/>
    <mergeCell ref="I20:L20"/>
    <mergeCell ref="I11:L14"/>
    <mergeCell ref="I17:L18"/>
    <mergeCell ref="I2:L2"/>
  </mergeCells>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xl/worksheets/sheet18.xml><?xml version="1.0" encoding="utf-8"?>
<worksheet xmlns="http://schemas.openxmlformats.org/spreadsheetml/2006/main">
  <sheetPr>
    <outlinePr summaryBelow="1" summaryRight="1"/>
    <pageSetUpPr/>
  </sheetPr>
  <dimension ref="A1:H16"/>
  <sheetViews>
    <sheetView zoomScale="75" zoomScaleNormal="75" workbookViewId="0">
      <pane ySplit="1" topLeftCell="A2" activePane="bottomLeft" state="frozen"/>
      <selection pane="bottomLeft" activeCell="A1" sqref="A1"/>
    </sheetView>
  </sheetViews>
  <sheetFormatPr baseColWidth="10" defaultColWidth="8.5" defaultRowHeight="15"/>
  <cols>
    <col width="12" customWidth="1" min="1" max="1"/>
    <col width="28" customWidth="1" min="2" max="2"/>
    <col width="12" customWidth="1" min="3" max="3"/>
    <col width="60" customWidth="1" min="4" max="4"/>
    <col width="8" customWidth="1" min="5" max="5"/>
    <col width="16" customWidth="1" min="6" max="6"/>
    <col width="40" customWidth="1" min="7" max="7"/>
    <col width="35" customWidth="1" min="8" max="8"/>
  </cols>
  <sheetData>
    <row r="1" ht="28" customHeight="1">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c r="A2" s="13" t="inlineStr">
        <is>
          <t>V17.1</t>
        </is>
      </c>
      <c r="B2" s="13" t="inlineStr">
        <is>
          <t>TURN Server</t>
        </is>
      </c>
      <c r="C2" s="13" t="n"/>
      <c r="D2" s="13" t="n"/>
      <c r="E2" s="13" t="n"/>
      <c r="F2" s="13" t="n"/>
      <c r="G2" s="13" t="n"/>
      <c r="H2" s="13" t="n"/>
    </row>
    <row r="3" ht="30" customHeight="1">
      <c r="A3" s="14" t="inlineStr">
        <is>
          <t>V17.1</t>
        </is>
      </c>
      <c r="B3" s="14" t="inlineStr">
        <is>
          <t>TURN Server</t>
        </is>
      </c>
      <c r="C3" s="15" t="inlineStr">
        <is>
          <t>V17.1.1</t>
        </is>
      </c>
      <c r="D3" s="16" t="inlineStr">
        <is>
          <t>Verify that the Traversal Using Relays around NAT (TURN) service only allows access to IP addresses that are not reserved for special purposes (e.g., internal networks, broadcast, loopback). Note that this applies to both IPv4 and IPv6 addresses.</t>
        </is>
      </c>
      <c r="E3" s="17" t="n">
        <v>2</v>
      </c>
      <c r="F3" s="18" t="inlineStr">
        <is>
          <t>Not Applicable</t>
        </is>
      </c>
      <c r="G3" s="16" t="n"/>
      <c r="H3" s="16" t="n"/>
    </row>
    <row r="4" ht="30" customHeight="1">
      <c r="A4" s="19" t="inlineStr">
        <is>
          <t>V17.1</t>
        </is>
      </c>
      <c r="B4" s="19" t="inlineStr">
        <is>
          <t>TURN Server</t>
        </is>
      </c>
      <c r="C4" s="20" t="inlineStr">
        <is>
          <t>V17.1.2</t>
        </is>
      </c>
      <c r="D4" s="21" t="inlineStr">
        <is>
          <t>Verify that the Traversal Using Relays around NAT (TURN) service is not susceptible to resource exhaustion when legitimate users attempt to open a large number of ports on the TURN server.</t>
        </is>
      </c>
      <c r="E4" s="23" t="n">
        <v>3</v>
      </c>
      <c r="F4" s="18" t="inlineStr">
        <is>
          <t>Not Applicable</t>
        </is>
      </c>
      <c r="G4" s="21" t="n"/>
      <c r="H4" s="21" t="n"/>
    </row>
    <row r="5" ht="18" customHeight="1">
      <c r="A5" s="13" t="inlineStr">
        <is>
          <t>V17.2</t>
        </is>
      </c>
      <c r="B5" s="13" t="inlineStr">
        <is>
          <t>Media</t>
        </is>
      </c>
      <c r="C5" s="13" t="n"/>
      <c r="D5" s="13" t="n"/>
      <c r="E5" s="13" t="n"/>
      <c r="F5" s="13" t="n"/>
      <c r="G5" s="13" t="n"/>
      <c r="H5" s="13" t="n"/>
    </row>
    <row r="6" ht="30" customHeight="1">
      <c r="A6" s="14" t="inlineStr">
        <is>
          <t>V17.2</t>
        </is>
      </c>
      <c r="B6" s="14" t="inlineStr">
        <is>
          <t>Media</t>
        </is>
      </c>
      <c r="C6" s="15" t="inlineStr">
        <is>
          <t>V17.2.1</t>
        </is>
      </c>
      <c r="D6" s="16" t="inlineStr">
        <is>
          <t>Verify that the key for the Datagram Transport Layer Security (DTLS) certificate is managed and protected based on the documented policy for management of cryptographic keys.</t>
        </is>
      </c>
      <c r="E6" s="17" t="n">
        <v>2</v>
      </c>
      <c r="F6" s="18" t="inlineStr">
        <is>
          <t>Not Applicable</t>
        </is>
      </c>
      <c r="G6" s="16" t="n"/>
      <c r="H6" s="16" t="n"/>
    </row>
    <row r="7" ht="30" customHeight="1">
      <c r="A7" s="19" t="inlineStr">
        <is>
          <t>V17.2</t>
        </is>
      </c>
      <c r="B7" s="19" t="inlineStr">
        <is>
          <t>Media</t>
        </is>
      </c>
      <c r="C7" s="20" t="inlineStr">
        <is>
          <t>V17.2.2</t>
        </is>
      </c>
      <c r="D7" s="21"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17" t="n">
        <v>2</v>
      </c>
      <c r="F7" s="18" t="inlineStr">
        <is>
          <t>Not Applicable</t>
        </is>
      </c>
      <c r="G7" s="21" t="n"/>
      <c r="H7" s="21" t="n"/>
    </row>
    <row r="8" ht="30" customHeight="1">
      <c r="A8" s="14" t="inlineStr">
        <is>
          <t>V17.2</t>
        </is>
      </c>
      <c r="B8" s="14" t="inlineStr">
        <is>
          <t>Media</t>
        </is>
      </c>
      <c r="C8" s="15" t="inlineStr">
        <is>
          <t>V17.2.3</t>
        </is>
      </c>
      <c r="D8" s="16"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17" t="n">
        <v>2</v>
      </c>
      <c r="F8" s="18" t="inlineStr">
        <is>
          <t>Not Applicable</t>
        </is>
      </c>
      <c r="G8" s="16" t="n"/>
      <c r="H8" s="16" t="n"/>
    </row>
    <row r="9" ht="30" customHeight="1">
      <c r="A9" s="19" t="inlineStr">
        <is>
          <t>V17.2</t>
        </is>
      </c>
      <c r="B9" s="19" t="inlineStr">
        <is>
          <t>Media</t>
        </is>
      </c>
      <c r="C9" s="20" t="inlineStr">
        <is>
          <t>V17.2.4</t>
        </is>
      </c>
      <c r="D9" s="21" t="inlineStr">
        <is>
          <t>Verify that the media server is able to continue processing incoming media traffic when encountering malformed Secure Real-time Transport Protocol (SRTP) packets.</t>
        </is>
      </c>
      <c r="E9" s="17" t="n">
        <v>2</v>
      </c>
      <c r="F9" s="18" t="inlineStr">
        <is>
          <t>Not Applicable</t>
        </is>
      </c>
      <c r="G9" s="21" t="n"/>
      <c r="H9" s="21" t="n"/>
    </row>
    <row r="10" ht="30" customHeight="1">
      <c r="A10" s="14" t="inlineStr">
        <is>
          <t>V17.2</t>
        </is>
      </c>
      <c r="B10" s="14" t="inlineStr">
        <is>
          <t>Media</t>
        </is>
      </c>
      <c r="C10" s="15" t="inlineStr">
        <is>
          <t>V17.2.5</t>
        </is>
      </c>
      <c r="D10" s="16" t="inlineStr">
        <is>
          <t>Verify that the media server is able to continue processing incoming media traffic during a flood of Secure Real-time Transport Protocol (SRTP) packets from legitimate users.</t>
        </is>
      </c>
      <c r="E10" s="23" t="n">
        <v>3</v>
      </c>
      <c r="F10" s="18" t="inlineStr">
        <is>
          <t>Not Applicable</t>
        </is>
      </c>
      <c r="G10" s="16" t="n"/>
      <c r="H10" s="16" t="n"/>
    </row>
    <row r="11" ht="30" customHeight="1">
      <c r="A11" s="19" t="inlineStr">
        <is>
          <t>V17.2</t>
        </is>
      </c>
      <c r="B11" s="19" t="inlineStr">
        <is>
          <t>Media</t>
        </is>
      </c>
      <c r="C11" s="20" t="inlineStr">
        <is>
          <t>V17.2.6</t>
        </is>
      </c>
      <c r="D11" s="21" t="inlineStr">
        <is>
          <t>Verify that the media server is not susceptible to the "ClientHello" Race Condition vulnerability in Datagram Transport Layer Security (DTLS) by checking if the media server is publicly known to be vulnerable or by performing the race condition test.</t>
        </is>
      </c>
      <c r="E11" s="23" t="n">
        <v>3</v>
      </c>
      <c r="F11" s="18" t="inlineStr">
        <is>
          <t>Not Applicable</t>
        </is>
      </c>
      <c r="G11" s="21" t="n"/>
      <c r="H11" s="21" t="n"/>
    </row>
    <row r="12" ht="30" customHeight="1">
      <c r="A12" s="14" t="inlineStr">
        <is>
          <t>V17.2</t>
        </is>
      </c>
      <c r="B12" s="14" t="inlineStr">
        <is>
          <t>Media</t>
        </is>
      </c>
      <c r="C12" s="15" t="inlineStr">
        <is>
          <t>V17.2.7</t>
        </is>
      </c>
      <c r="D12" s="16" t="inlineStr">
        <is>
          <t>Verify that any audio or video recording mechanisms associated with the media server are able to continue processing incoming media traffic during a flood of Secure Real-time Transport Protocol (SRTP) packets from legitimate users.</t>
        </is>
      </c>
      <c r="E12" s="23" t="n">
        <v>3</v>
      </c>
      <c r="F12" s="18" t="inlineStr">
        <is>
          <t>Not Applicable</t>
        </is>
      </c>
      <c r="G12" s="16" t="n"/>
      <c r="H12" s="16" t="n"/>
    </row>
    <row r="13" ht="30" customHeight="1">
      <c r="A13" s="19" t="inlineStr">
        <is>
          <t>V17.2</t>
        </is>
      </c>
      <c r="B13" s="19" t="inlineStr">
        <is>
          <t>Media</t>
        </is>
      </c>
      <c r="C13" s="20" t="inlineStr">
        <is>
          <t>V17.2.8</t>
        </is>
      </c>
      <c r="D13" s="21" t="inlineStr">
        <is>
          <t>Verify that the Datagram Transport Layer Security (DTLS) certificate is checked against the Session Description Protocol (SDP) fingerprint attribute, terminating the media stream if the check fails, to ensure the authenticity of the media stream.</t>
        </is>
      </c>
      <c r="E13" s="23" t="n">
        <v>3</v>
      </c>
      <c r="F13" s="18" t="inlineStr">
        <is>
          <t>Not Applicable</t>
        </is>
      </c>
      <c r="G13" s="21" t="n"/>
      <c r="H13" s="21" t="n"/>
    </row>
    <row r="14" ht="18" customHeight="1">
      <c r="A14" s="13" t="inlineStr">
        <is>
          <t>V17.3</t>
        </is>
      </c>
      <c r="B14" s="13" t="inlineStr">
        <is>
          <t>Signaling</t>
        </is>
      </c>
      <c r="C14" s="13" t="n"/>
      <c r="D14" s="13" t="n"/>
      <c r="E14" s="13" t="n"/>
      <c r="F14" s="13" t="n"/>
      <c r="G14" s="13" t="n"/>
      <c r="H14" s="13" t="n"/>
    </row>
    <row r="15" ht="30" customHeight="1">
      <c r="A15" s="14" t="inlineStr">
        <is>
          <t>V17.3</t>
        </is>
      </c>
      <c r="B15" s="14" t="inlineStr">
        <is>
          <t>Signaling</t>
        </is>
      </c>
      <c r="C15" s="15" t="inlineStr">
        <is>
          <t>V17.3.1</t>
        </is>
      </c>
      <c r="D15" s="16" t="inlineStr">
        <is>
          <t>Verify that the signaling server is able to continue processing legitimate incoming signaling messages during a flood attack. This should be achieved by implementing rate limiting at the signaling level.</t>
        </is>
      </c>
      <c r="E15" s="17" t="n">
        <v>2</v>
      </c>
      <c r="F15" s="18" t="inlineStr">
        <is>
          <t>Not Applicable</t>
        </is>
      </c>
      <c r="G15" s="16" t="n"/>
      <c r="H15" s="16" t="n"/>
    </row>
    <row r="16" ht="30" customHeight="1">
      <c r="A16" s="19" t="inlineStr">
        <is>
          <t>V17.3</t>
        </is>
      </c>
      <c r="B16" s="19" t="inlineStr">
        <is>
          <t>Signaling</t>
        </is>
      </c>
      <c r="C16" s="20" t="inlineStr">
        <is>
          <t>V17.3.2</t>
        </is>
      </c>
      <c r="D16" s="21"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17" t="n">
        <v>2</v>
      </c>
      <c r="F16" s="18" t="inlineStr">
        <is>
          <t>Not Applicable</t>
        </is>
      </c>
      <c r="G16" s="21" t="n"/>
      <c r="H16" s="21" t="n"/>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5" right="0.75" top="1" bottom="1" header="0.511805555555555" footer="0.51180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2026-03-04T10:14:28Z</dcterms:created>
  <dcterms:modified xmlns:dcterms="http://purl.org/dc/terms/" xmlns:xsi="http://www.w3.org/2001/XMLSchema-instance" xsi:type="dcterms:W3CDTF">2026-05-16T19:13:12Z</dcterms:modified>
  <cp:lastModifiedBy>Diana Isabel Rosas Da Silva Neves</cp:lastModifiedBy>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